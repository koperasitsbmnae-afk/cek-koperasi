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O\"/>
    </mc:Choice>
  </mc:AlternateContent>
  <xr:revisionPtr revIDLastSave="0" documentId="13_ncr:1_{32E772D8-19F5-494D-99C9-0F3907C89381}" xr6:coauthVersionLast="47" xr6:coauthVersionMax="47" xr10:uidLastSave="{00000000-0000-0000-0000-000000000000}"/>
  <bookViews>
    <workbookView xWindow="-110" yWindow="-110" windowWidth="19420" windowHeight="11500" tabRatio="723" activeTab="3" xr2:uid="{F970B87B-20DA-4A5C-AAEA-A159F2A492B1}"/>
  </bookViews>
  <sheets>
    <sheet name="sheet 1" sheetId="37" r:id="rId1"/>
    <sheet name="sheet 2" sheetId="38" r:id="rId2"/>
    <sheet name="sheet 4" sheetId="39" r:id="rId3"/>
    <sheet name="CEK DATA" sheetId="40" r:id="rId4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0" l="1"/>
  <c r="B8" i="40"/>
  <c r="B9" i="40"/>
  <c r="B10" i="40"/>
  <c r="B11" i="40"/>
  <c r="B12" i="40"/>
</calcChain>
</file>

<file path=xl/sharedStrings.xml><?xml version="1.0" encoding="utf-8"?>
<sst xmlns="http://schemas.openxmlformats.org/spreadsheetml/2006/main" count="2739" uniqueCount="1657">
  <si>
    <t>MUNAWAROH</t>
  </si>
  <si>
    <t>3307154308810001</t>
  </si>
  <si>
    <t>6207086102830001</t>
  </si>
  <si>
    <t>6207086505770001</t>
  </si>
  <si>
    <t>3307041107870002</t>
  </si>
  <si>
    <t>MARIA YULIANA DAWI</t>
  </si>
  <si>
    <t>MURTININGSIH</t>
  </si>
  <si>
    <t>6310035108820002</t>
  </si>
  <si>
    <t>3305082312750001</t>
  </si>
  <si>
    <t>3305086309800003</t>
  </si>
  <si>
    <t>PAINEM</t>
  </si>
  <si>
    <t>MUSAROFAH</t>
  </si>
  <si>
    <t>3304064211880004</t>
  </si>
  <si>
    <t>SUDIARTO</t>
  </si>
  <si>
    <t>6207070606781001</t>
  </si>
  <si>
    <t>MUJI ROHANI</t>
  </si>
  <si>
    <t>6207080106770001</t>
  </si>
  <si>
    <t>3309105511920001</t>
  </si>
  <si>
    <t>6207086808840001</t>
  </si>
  <si>
    <t>6207081408940001</t>
  </si>
  <si>
    <t>PAIKUN</t>
  </si>
  <si>
    <t>6207041007750004</t>
  </si>
  <si>
    <t>GORIS</t>
  </si>
  <si>
    <t>TUJAN</t>
  </si>
  <si>
    <t>SUROSO</t>
  </si>
  <si>
    <t>BAGAS IRWANTO</t>
  </si>
  <si>
    <t>6402131209900005</t>
  </si>
  <si>
    <t>SAIMAN</t>
  </si>
  <si>
    <t>6207081402770001</t>
  </si>
  <si>
    <t>6207084209920001</t>
  </si>
  <si>
    <t>1208220509920001</t>
  </si>
  <si>
    <t>DIANA OKTAVIANI</t>
  </si>
  <si>
    <t>AHMAD SUKIMAN</t>
  </si>
  <si>
    <t>6207085010840001</t>
  </si>
  <si>
    <t>SAHRUL</t>
  </si>
  <si>
    <t>6207080504840002</t>
  </si>
  <si>
    <t>HAYATI</t>
  </si>
  <si>
    <t>6207085209760001</t>
  </si>
  <si>
    <t>AGUS SUNARYO</t>
  </si>
  <si>
    <t>6207080506770001</t>
  </si>
  <si>
    <t>SUKARDI</t>
  </si>
  <si>
    <t>3307030305850011</t>
  </si>
  <si>
    <t>DWI WAHYUDI</t>
  </si>
  <si>
    <t>6207032107730007</t>
  </si>
  <si>
    <t>RIDHO</t>
  </si>
  <si>
    <t>SLAMET</t>
  </si>
  <si>
    <t>6207080709780001</t>
  </si>
  <si>
    <t>SUNLASTUTI</t>
  </si>
  <si>
    <t>5307014406880001</t>
  </si>
  <si>
    <t>TUMIRAH</t>
  </si>
  <si>
    <t>NUR HIKMAH WATI</t>
  </si>
  <si>
    <t>6302075509910001</t>
  </si>
  <si>
    <t>CHOTIMAH</t>
  </si>
  <si>
    <t>PARSIH</t>
  </si>
  <si>
    <t>WAGIMAN</t>
  </si>
  <si>
    <t>6207081006730002</t>
  </si>
  <si>
    <t>HIKMAH</t>
  </si>
  <si>
    <t>SUMIATI</t>
  </si>
  <si>
    <t>INDARWATI</t>
  </si>
  <si>
    <t>6207086308850001</t>
  </si>
  <si>
    <t>EKO WATI</t>
  </si>
  <si>
    <t>ARIATI</t>
  </si>
  <si>
    <t>SAMINI</t>
  </si>
  <si>
    <t>KHUSNUL FAJRIATUR ROHMAH</t>
  </si>
  <si>
    <t>RUSMONO</t>
  </si>
  <si>
    <t>UMI AZIZAH</t>
  </si>
  <si>
    <t>6207085105790001</t>
  </si>
  <si>
    <t>6207084610920001</t>
  </si>
  <si>
    <t>6207041007800005</t>
  </si>
  <si>
    <t>NGADIRAH</t>
  </si>
  <si>
    <t>6201056302840002</t>
  </si>
  <si>
    <t>6207084208880001</t>
  </si>
  <si>
    <t>6207040908860003</t>
  </si>
  <si>
    <t>WATINAH</t>
  </si>
  <si>
    <t>6207086507860001</t>
  </si>
  <si>
    <t>6202075501830001</t>
  </si>
  <si>
    <t>6207044509840002</t>
  </si>
  <si>
    <t>3307010603840007</t>
  </si>
  <si>
    <t>6207040506720002</t>
  </si>
  <si>
    <t>6207082910880001</t>
  </si>
  <si>
    <t>DEWI PANJAITAN</t>
  </si>
  <si>
    <t>DIDIK HARIYANTO</t>
  </si>
  <si>
    <t>SUTINAH</t>
  </si>
  <si>
    <t>6207084207930001</t>
  </si>
  <si>
    <t>3307026007840004</t>
  </si>
  <si>
    <t>6207084706790001</t>
  </si>
  <si>
    <t>SURATMAN</t>
  </si>
  <si>
    <t>6207080705740001</t>
  </si>
  <si>
    <t>MUJIMIYATI</t>
  </si>
  <si>
    <t>MANIJAN</t>
  </si>
  <si>
    <t>6207040107760051</t>
  </si>
  <si>
    <t>YATINEM</t>
  </si>
  <si>
    <t>ABDUL ROHCKIM</t>
  </si>
  <si>
    <t>6207083004880002</t>
  </si>
  <si>
    <t>WIWIT SANTOSO</t>
  </si>
  <si>
    <t>SOLIKAH</t>
  </si>
  <si>
    <t>3305246602920001</t>
  </si>
  <si>
    <t>SHOLIHUN</t>
  </si>
  <si>
    <t>3307012312900002</t>
  </si>
  <si>
    <t>6202142008930003</t>
  </si>
  <si>
    <t>MUJI SANTOSO</t>
  </si>
  <si>
    <t>KARIYANTI</t>
  </si>
  <si>
    <t>MARSIYAM</t>
  </si>
  <si>
    <t>RESKY SAHRUL RAMADAN</t>
  </si>
  <si>
    <t>6207072012000001</t>
  </si>
  <si>
    <t>ABU TOYIB</t>
  </si>
  <si>
    <t>REMIANTI</t>
  </si>
  <si>
    <t>6371010501780010</t>
  </si>
  <si>
    <t>JUMARI</t>
  </si>
  <si>
    <t>DADANG HARIYANTO</t>
  </si>
  <si>
    <t>6207086002780001</t>
  </si>
  <si>
    <t>SABAR</t>
  </si>
  <si>
    <t>6207081410800001</t>
  </si>
  <si>
    <t>6207044101760006</t>
  </si>
  <si>
    <t>6207040105730002</t>
  </si>
  <si>
    <t>SUPOYO</t>
  </si>
  <si>
    <t>6207046712800001</t>
  </si>
  <si>
    <t>6207085111850001</t>
  </si>
  <si>
    <t>ARI ENDRAYANI</t>
  </si>
  <si>
    <t>6207081109820001</t>
  </si>
  <si>
    <t>3506221109870001</t>
  </si>
  <si>
    <t>MAKMUNUDIN</t>
  </si>
  <si>
    <t>6207082307780001</t>
  </si>
  <si>
    <t>KOSIDAH</t>
  </si>
  <si>
    <t>BAGIO</t>
  </si>
  <si>
    <t>6207082507740001</t>
  </si>
  <si>
    <t>TURYATI</t>
  </si>
  <si>
    <t>YULENI</t>
  </si>
  <si>
    <t>6207082606800001</t>
  </si>
  <si>
    <t>SITI RAHAYU</t>
  </si>
  <si>
    <t>ARMAN</t>
  </si>
  <si>
    <t>SISKA RUGUN ADINATA</t>
  </si>
  <si>
    <t>JAYADI</t>
  </si>
  <si>
    <t>YENI</t>
  </si>
  <si>
    <t>MOCHAMAD ARIFIN</t>
  </si>
  <si>
    <t>6207080209850001</t>
  </si>
  <si>
    <t>ROSYID</t>
  </si>
  <si>
    <t>6207080304890001</t>
  </si>
  <si>
    <t>NGATINO</t>
  </si>
  <si>
    <t>6207080701800001</t>
  </si>
  <si>
    <t>3315160806870005</t>
  </si>
  <si>
    <t>6207044411840002</t>
  </si>
  <si>
    <t>6207082706800001</t>
  </si>
  <si>
    <t>YULIANTI</t>
  </si>
  <si>
    <t>SLAMET SUKUR</t>
  </si>
  <si>
    <t>WIDODO</t>
  </si>
  <si>
    <t>SUWITO</t>
  </si>
  <si>
    <t>SUMARSONO</t>
  </si>
  <si>
    <t>6310030506820003</t>
  </si>
  <si>
    <t>SURATMI</t>
  </si>
  <si>
    <t>MAD THOLIB</t>
  </si>
  <si>
    <t>3307153012880002</t>
  </si>
  <si>
    <t>6207034306800008</t>
  </si>
  <si>
    <t>OKTAVIANUS ASMAN</t>
  </si>
  <si>
    <t>DARSONO</t>
  </si>
  <si>
    <t>TIKA</t>
  </si>
  <si>
    <t>FANDIANUS YOGAN KAKI</t>
  </si>
  <si>
    <t>3506226303900003</t>
  </si>
  <si>
    <t>3521131609940001</t>
  </si>
  <si>
    <t>ALEXANDER</t>
  </si>
  <si>
    <t>6107032212890002</t>
  </si>
  <si>
    <t>6371016912850005</t>
  </si>
  <si>
    <t>SAMAN</t>
  </si>
  <si>
    <t>MUSI ANDRIOWATI</t>
  </si>
  <si>
    <t>6207044705850002</t>
  </si>
  <si>
    <t>6207045508800003</t>
  </si>
  <si>
    <t>6201051005870002</t>
  </si>
  <si>
    <t>6207046606830002</t>
  </si>
  <si>
    <t>MUZANI HAMDAN</t>
  </si>
  <si>
    <t>6207041110730004</t>
  </si>
  <si>
    <t>6207085003900001</t>
  </si>
  <si>
    <t>WAGISO</t>
  </si>
  <si>
    <t>3306010212870003</t>
  </si>
  <si>
    <t>DESI</t>
  </si>
  <si>
    <t>6202094107870042</t>
  </si>
  <si>
    <t>DEWI HARTATI</t>
  </si>
  <si>
    <t>6207074812821001</t>
  </si>
  <si>
    <t>HARIYADI</t>
  </si>
  <si>
    <t>6202090512850002</t>
  </si>
  <si>
    <t>6207031408830002</t>
  </si>
  <si>
    <t>6207084107810001</t>
  </si>
  <si>
    <t>3524202704900002</t>
  </si>
  <si>
    <t>ALIMI</t>
  </si>
  <si>
    <t>6207086607930001</t>
  </si>
  <si>
    <t>AKEN P. TAMPUBOLON</t>
  </si>
  <si>
    <t>AKHMAD KHAMID</t>
  </si>
  <si>
    <t>6207041302910001</t>
  </si>
  <si>
    <t>ADIK PANCAWATI</t>
  </si>
  <si>
    <t>AHMAD SARIFUL ANAM</t>
  </si>
  <si>
    <t>6207082701970001</t>
  </si>
  <si>
    <t>ERFAY GUSTIYAN</t>
  </si>
  <si>
    <t>WARWANTO</t>
  </si>
  <si>
    <t>RIYANTO</t>
  </si>
  <si>
    <t>DADAN E. HERIANA</t>
  </si>
  <si>
    <t>6207040609900001</t>
  </si>
  <si>
    <t>MUNAWIR SAJALI</t>
  </si>
  <si>
    <t>SUPARNO</t>
  </si>
  <si>
    <t>6207042410800002</t>
  </si>
  <si>
    <t>RIYANTI</t>
  </si>
  <si>
    <t>AGUS SANTOSO</t>
  </si>
  <si>
    <t>6207040608770003</t>
  </si>
  <si>
    <t>SARINI</t>
  </si>
  <si>
    <t>JEMARI</t>
  </si>
  <si>
    <t>6207080105770001</t>
  </si>
  <si>
    <t>6207044607770005</t>
  </si>
  <si>
    <t>6207081212720001</t>
  </si>
  <si>
    <t>KHADZIK MUNADHAR</t>
  </si>
  <si>
    <t>6207042305830003</t>
  </si>
  <si>
    <t>SITI NURYANI</t>
  </si>
  <si>
    <t>6207040608880001</t>
  </si>
  <si>
    <t>6207082802810001</t>
  </si>
  <si>
    <t>MISNEM</t>
  </si>
  <si>
    <t>AMAT WIDOYO</t>
  </si>
  <si>
    <t>SUDIYONO</t>
  </si>
  <si>
    <t>6207044505890002</t>
  </si>
  <si>
    <t>6207081108780001</t>
  </si>
  <si>
    <t>SURTINAH</t>
  </si>
  <si>
    <t>MOHAMMAD ROIS</t>
  </si>
  <si>
    <t>FAHRUDIN</t>
  </si>
  <si>
    <t>6207041504780003</t>
  </si>
  <si>
    <t>SITI MAISYAROH</t>
  </si>
  <si>
    <t>2171110411879006</t>
  </si>
  <si>
    <t>SUSIYANTO</t>
  </si>
  <si>
    <t>MULI WULANDARI</t>
  </si>
  <si>
    <t>SIMIN</t>
  </si>
  <si>
    <t>3323090207830003</t>
  </si>
  <si>
    <t>RUSMAYANI</t>
  </si>
  <si>
    <t>6207046106850001</t>
  </si>
  <si>
    <t>AISAH</t>
  </si>
  <si>
    <t>6207034508850002</t>
  </si>
  <si>
    <t>TATI</t>
  </si>
  <si>
    <t>PULUNG MANALU</t>
  </si>
  <si>
    <t>ALI</t>
  </si>
  <si>
    <t>6207085005830001</t>
  </si>
  <si>
    <t>6207086103850001</t>
  </si>
  <si>
    <t>6207084901800001</t>
  </si>
  <si>
    <t>TUMINEM</t>
  </si>
  <si>
    <t>6207045202720002</t>
  </si>
  <si>
    <t>PENI RATNO WULAN</t>
  </si>
  <si>
    <t>AJI CAHYONO</t>
  </si>
  <si>
    <t>6207086502850001</t>
  </si>
  <si>
    <t>REBUT SUDARDIO</t>
  </si>
  <si>
    <t>3306012705870002</t>
  </si>
  <si>
    <t>SUBANDI</t>
  </si>
  <si>
    <t>6207040909880007</t>
  </si>
  <si>
    <t>3510140608920003</t>
  </si>
  <si>
    <t>6207042807720001</t>
  </si>
  <si>
    <t>6207084505890001</t>
  </si>
  <si>
    <t>SAYDI</t>
  </si>
  <si>
    <t>BATRI SIMPEL</t>
  </si>
  <si>
    <t>6207041707740001</t>
  </si>
  <si>
    <t>AHMAD MUKODAM</t>
  </si>
  <si>
    <t>6271022511940001</t>
  </si>
  <si>
    <t>6207080708830001</t>
  </si>
  <si>
    <t>SURATI</t>
  </si>
  <si>
    <t>6207082708790001</t>
  </si>
  <si>
    <t>DESPI ALPIANTA MELIALA</t>
  </si>
  <si>
    <t>1206090312970001</t>
  </si>
  <si>
    <t>EDI SAPUTRO</t>
  </si>
  <si>
    <t>SRIYATI</t>
  </si>
  <si>
    <t>6207085008730001</t>
  </si>
  <si>
    <t>BAROKAH</t>
  </si>
  <si>
    <t>AGUS HAIRIANUR</t>
  </si>
  <si>
    <t>6207085810740001</t>
  </si>
  <si>
    <t>6207041207810002</t>
  </si>
  <si>
    <t>SOBIRIN</t>
  </si>
  <si>
    <t>6207082111890001</t>
  </si>
  <si>
    <t>NURUL SOGHIROH</t>
  </si>
  <si>
    <t>WASTITATUN</t>
  </si>
  <si>
    <t>6207046710800001</t>
  </si>
  <si>
    <t>MARWIYAH</t>
  </si>
  <si>
    <t>3307015208890002</t>
  </si>
  <si>
    <t>SRI ENDANG WATI</t>
  </si>
  <si>
    <t>ANDRI GUNAWAN</t>
  </si>
  <si>
    <t>ISTIKOMAH</t>
  </si>
  <si>
    <t>REBIN</t>
  </si>
  <si>
    <t>6207082006850001</t>
  </si>
  <si>
    <t>SOLIKHIN</t>
  </si>
  <si>
    <t>3305072112970005</t>
  </si>
  <si>
    <t>ANDRA</t>
  </si>
  <si>
    <t>6202142701950001</t>
  </si>
  <si>
    <t>NAFSIYAH</t>
  </si>
  <si>
    <t>SUHARSO</t>
  </si>
  <si>
    <t>GUSMIA</t>
  </si>
  <si>
    <t>6211032110800001</t>
  </si>
  <si>
    <t>WARIS</t>
  </si>
  <si>
    <t>NIK</t>
  </si>
  <si>
    <t>NAMA</t>
  </si>
  <si>
    <t>M.SUHARI</t>
  </si>
  <si>
    <t>3304040107850342</t>
  </si>
  <si>
    <t>DARPI SUGIAT</t>
  </si>
  <si>
    <t>6207042104800002</t>
  </si>
  <si>
    <t>AHMAD ABDULLAH PARNO</t>
  </si>
  <si>
    <t>6207040602750002</t>
  </si>
  <si>
    <t>6207086201780001</t>
  </si>
  <si>
    <t>3524200312960001</t>
  </si>
  <si>
    <t>SURATNO</t>
  </si>
  <si>
    <t>6207045110800001</t>
  </si>
  <si>
    <t>6207084105880001</t>
  </si>
  <si>
    <t>6207085303880001</t>
  </si>
  <si>
    <t>PURYANTO</t>
  </si>
  <si>
    <t>3307015008750004</t>
  </si>
  <si>
    <t>6207085203820001</t>
  </si>
  <si>
    <t>TOHABUN</t>
  </si>
  <si>
    <t>3307010110870005</t>
  </si>
  <si>
    <t>3327081710900021</t>
  </si>
  <si>
    <t>3305081005890001</t>
  </si>
  <si>
    <t>YOHANES LEONARDI HALIM</t>
  </si>
  <si>
    <t>6207042008760001</t>
  </si>
  <si>
    <t>SUMIRAH</t>
  </si>
  <si>
    <t>3307036105850005</t>
  </si>
  <si>
    <t>MUHAMAD MINWIN</t>
  </si>
  <si>
    <t>3304151705810003</t>
  </si>
  <si>
    <t>6207042307630002</t>
  </si>
  <si>
    <t>SLAMET MARDIYANTO</t>
  </si>
  <si>
    <t>DIDIK MEY PRASETYO</t>
  </si>
  <si>
    <t>3305082105930004</t>
  </si>
  <si>
    <t>6207040107780048</t>
  </si>
  <si>
    <t>SUGIANTO</t>
  </si>
  <si>
    <t>6207042509850001</t>
  </si>
  <si>
    <t>TUMINO</t>
  </si>
  <si>
    <t>EDUL RAHMAN H</t>
  </si>
  <si>
    <t>6207082809830001</t>
  </si>
  <si>
    <t>6207085006810002</t>
  </si>
  <si>
    <t>SUTAJI SAPUTRA</t>
  </si>
  <si>
    <t>1605022301870001</t>
  </si>
  <si>
    <t>6271025909840001</t>
  </si>
  <si>
    <t>TUSILAH</t>
  </si>
  <si>
    <t>6207046102780001</t>
  </si>
  <si>
    <t>6207080404890001</t>
  </si>
  <si>
    <t>RUSDIYANTO</t>
  </si>
  <si>
    <t>ARIYANTO</t>
  </si>
  <si>
    <t>6207080808920002</t>
  </si>
  <si>
    <t>DIONO</t>
  </si>
  <si>
    <t>6207085902900001</t>
  </si>
  <si>
    <t>3323080210870003</t>
  </si>
  <si>
    <t>2171035806870003</t>
  </si>
  <si>
    <t>6207085403870001</t>
  </si>
  <si>
    <t>SITI PATIMAH</t>
  </si>
  <si>
    <t>6207084510750001</t>
  </si>
  <si>
    <t>PRIYANTO</t>
  </si>
  <si>
    <t>3323092704920001</t>
  </si>
  <si>
    <t>3307154306910003</t>
  </si>
  <si>
    <t>KARIMAN</t>
  </si>
  <si>
    <t>SATIMAN</t>
  </si>
  <si>
    <t>MAHFUT</t>
  </si>
  <si>
    <t>MISTARI</t>
  </si>
  <si>
    <t>6207040310800001</t>
  </si>
  <si>
    <t>3301010708880003</t>
  </si>
  <si>
    <t>SUGITO</t>
  </si>
  <si>
    <t>SITI MAHMUDAH</t>
  </si>
  <si>
    <t>AGUS WIDODO</t>
  </si>
  <si>
    <t>INDAH LESTARI</t>
  </si>
  <si>
    <t>6207081612810001</t>
  </si>
  <si>
    <t>MARYANI</t>
  </si>
  <si>
    <t>TENANG</t>
  </si>
  <si>
    <t>NUROHIM</t>
  </si>
  <si>
    <t>EKA ARDIAN SATIANTO</t>
  </si>
  <si>
    <t>6207080804800002</t>
  </si>
  <si>
    <t>KUYAH</t>
  </si>
  <si>
    <t>NYAMI</t>
  </si>
  <si>
    <t>6202146709840001</t>
  </si>
  <si>
    <t>6207042004790003</t>
  </si>
  <si>
    <t>WAS SUMIASIH</t>
  </si>
  <si>
    <t>6207047112820006</t>
  </si>
  <si>
    <t>MURSINO</t>
  </si>
  <si>
    <t>3305061401850003</t>
  </si>
  <si>
    <t>SURANTI</t>
  </si>
  <si>
    <t>SUBARIYAH</t>
  </si>
  <si>
    <t>PARIMAN</t>
  </si>
  <si>
    <t>6207046706780001</t>
  </si>
  <si>
    <t>PAWIT SUTRISNO</t>
  </si>
  <si>
    <t>MARIA KRISTA MONING</t>
  </si>
  <si>
    <t>6207042009790003</t>
  </si>
  <si>
    <t>6207044801870001</t>
  </si>
  <si>
    <t>WAHYU HUDA MUSTOFA</t>
  </si>
  <si>
    <t>ISTIQOMAH</t>
  </si>
  <si>
    <t>UMI LATIFAH</t>
  </si>
  <si>
    <t>IBRAHIM</t>
  </si>
  <si>
    <t>6207082306780001</t>
  </si>
  <si>
    <t>6207087003850001</t>
  </si>
  <si>
    <t>6207047003840001</t>
  </si>
  <si>
    <t>6207044204770001</t>
  </si>
  <si>
    <t>6207082501770001</t>
  </si>
  <si>
    <t>ISIH</t>
  </si>
  <si>
    <t>6207040301800003</t>
  </si>
  <si>
    <t>KANAN</t>
  </si>
  <si>
    <t>BISLAM</t>
  </si>
  <si>
    <t>6207080607770001</t>
  </si>
  <si>
    <t>GANDA</t>
  </si>
  <si>
    <t>3171040707730004</t>
  </si>
  <si>
    <t>SRI ENDANG RAHAYU</t>
  </si>
  <si>
    <t>SUKRISYANTO</t>
  </si>
  <si>
    <t>RANI</t>
  </si>
  <si>
    <t>6207040405770001</t>
  </si>
  <si>
    <t>SITI HAJAR</t>
  </si>
  <si>
    <t>MUHYAMIL</t>
  </si>
  <si>
    <t>6207080510850001</t>
  </si>
  <si>
    <t>NUR HAIFAH</t>
  </si>
  <si>
    <t>SLAMET RIYONO</t>
  </si>
  <si>
    <t>6207086511920001</t>
  </si>
  <si>
    <t>6207042907730002</t>
  </si>
  <si>
    <t>SAPARI</t>
  </si>
  <si>
    <t>6207082004860001</t>
  </si>
  <si>
    <t>AGUSTINUS NANGA</t>
  </si>
  <si>
    <t>6207080804790001</t>
  </si>
  <si>
    <t>JUSNIAR MANTARIA BR SIAHAAN</t>
  </si>
  <si>
    <t>1102106208910001</t>
  </si>
  <si>
    <t>MARTI</t>
  </si>
  <si>
    <t>NUR KHAYATI</t>
  </si>
  <si>
    <t>SUWARTO</t>
  </si>
  <si>
    <t>3305081402910003</t>
  </si>
  <si>
    <t>ENI ASTUTI</t>
  </si>
  <si>
    <t>3305234104920001</t>
  </si>
  <si>
    <t>DEDDY MURYANTO</t>
  </si>
  <si>
    <t>6207084905851002</t>
  </si>
  <si>
    <t>6207084201770001</t>
  </si>
  <si>
    <t>SUPIANOR</t>
  </si>
  <si>
    <t>1605026606900005</t>
  </si>
  <si>
    <t>ADE APRILIAN PUTRA</t>
  </si>
  <si>
    <t>6207080904990001</t>
  </si>
  <si>
    <t>TITIK FUJIATI</t>
  </si>
  <si>
    <t>MARGARET DEVILANNA PASARIBU</t>
  </si>
  <si>
    <t>6207085407760001</t>
  </si>
  <si>
    <t>ANWAR KURNIAWAN</t>
  </si>
  <si>
    <t>GUNAWAN</t>
  </si>
  <si>
    <t>DALIKIN</t>
  </si>
  <si>
    <t>SIGIT PRAMONO</t>
  </si>
  <si>
    <t>WAGINO ADI PORNOMO</t>
  </si>
  <si>
    <t>SUPIYANA</t>
  </si>
  <si>
    <t>6207040310890003</t>
  </si>
  <si>
    <t>ERNI MASRIFAH</t>
  </si>
  <si>
    <t>INOSENSIUS REO</t>
  </si>
  <si>
    <t>DIMAS AJI NUGROHO</t>
  </si>
  <si>
    <t>6207040504000002</t>
  </si>
  <si>
    <t>YOGI ANDALAN SINAGA</t>
  </si>
  <si>
    <t>1205161807960002</t>
  </si>
  <si>
    <t>3304124107880075</t>
  </si>
  <si>
    <t>SOLIHAH</t>
  </si>
  <si>
    <t>M. KHAMDUN ROCHMAT</t>
  </si>
  <si>
    <t>6202141602960001</t>
  </si>
  <si>
    <t>WINDARTI NUR'APNI</t>
  </si>
  <si>
    <t>MARIA MILI</t>
  </si>
  <si>
    <t>JUMIYATI</t>
  </si>
  <si>
    <t>HARYO HARTONO</t>
  </si>
  <si>
    <t>3304111206860001</t>
  </si>
  <si>
    <t>WAHID DIKY SAPUTRA</t>
  </si>
  <si>
    <t>3307071004010003</t>
  </si>
  <si>
    <t>DWI SUGIYANTO</t>
  </si>
  <si>
    <t>WALJUNDARI</t>
  </si>
  <si>
    <t>YATINO</t>
  </si>
  <si>
    <t>SARIMAN</t>
  </si>
  <si>
    <t>6207082005860001</t>
  </si>
  <si>
    <t>6207010907930001</t>
  </si>
  <si>
    <t>6207081708870001</t>
  </si>
  <si>
    <t>6207084801830001</t>
  </si>
  <si>
    <t>6207045211760002</t>
  </si>
  <si>
    <t>6207043006770001</t>
  </si>
  <si>
    <t>MARYATUN</t>
  </si>
  <si>
    <t>ROBIKUN</t>
  </si>
  <si>
    <t>6207081302740001</t>
  </si>
  <si>
    <t>MARYAMI</t>
  </si>
  <si>
    <t>6207081712990001</t>
  </si>
  <si>
    <t>5319012011890004</t>
  </si>
  <si>
    <t>SANDI RAHARDIAN</t>
  </si>
  <si>
    <t>3305242505010001</t>
  </si>
  <si>
    <t>6201012409790001</t>
  </si>
  <si>
    <t>SARDI</t>
  </si>
  <si>
    <t>MIFTAHUL KHOIR</t>
  </si>
  <si>
    <t>1809032508910003</t>
  </si>
  <si>
    <t>RASLEM SIDEBANG</t>
  </si>
  <si>
    <t>ROSIAH</t>
  </si>
  <si>
    <t>WARIYATUN</t>
  </si>
  <si>
    <t>KURNIAWAN PUKAT</t>
  </si>
  <si>
    <t>KHUSNUL WAFA</t>
  </si>
  <si>
    <t>6207081608890001</t>
  </si>
  <si>
    <t>MUSSHOLEH</t>
  </si>
  <si>
    <t>6207041007800004</t>
  </si>
  <si>
    <t>JUWARIYAH</t>
  </si>
  <si>
    <t>ROCHMAN</t>
  </si>
  <si>
    <t>6207081002800001</t>
  </si>
  <si>
    <t>3306012404920002</t>
  </si>
  <si>
    <t>LUSINO</t>
  </si>
  <si>
    <t>SITI KOMARIYANI</t>
  </si>
  <si>
    <t>SUTIRAH</t>
  </si>
  <si>
    <t>3305231102880001</t>
  </si>
  <si>
    <t>ANTINIUS NANGA</t>
  </si>
  <si>
    <t>6207082811890001</t>
  </si>
  <si>
    <t>6207042207820002</t>
  </si>
  <si>
    <t>ERIYOTO</t>
  </si>
  <si>
    <t>SHOFIYATUN</t>
  </si>
  <si>
    <t>6207085002860002</t>
  </si>
  <si>
    <t>6207081001720001</t>
  </si>
  <si>
    <t>MUKHTAROM</t>
  </si>
  <si>
    <t>3301202508910001</t>
  </si>
  <si>
    <t>6207087112910001</t>
  </si>
  <si>
    <t>SOPIYATUN</t>
  </si>
  <si>
    <t>6207085808860001</t>
  </si>
  <si>
    <t>WAHYUDI SLAMET</t>
  </si>
  <si>
    <t>6207042411830001</t>
  </si>
  <si>
    <t>6207044506800003</t>
  </si>
  <si>
    <t>6207085706840001</t>
  </si>
  <si>
    <t>6201051407800001</t>
  </si>
  <si>
    <t>LAURENSIUS LESU</t>
  </si>
  <si>
    <t>HERNI WATI</t>
  </si>
  <si>
    <t>AGUNG CAHYONO</t>
  </si>
  <si>
    <t>SUSANTO</t>
  </si>
  <si>
    <t>6207040810750001</t>
  </si>
  <si>
    <t>6207082303790001</t>
  </si>
  <si>
    <t>SUKIMAN</t>
  </si>
  <si>
    <t>6207081301820001</t>
  </si>
  <si>
    <t>MUJIYANTO</t>
  </si>
  <si>
    <t>3318161305930002</t>
  </si>
  <si>
    <t>JUWARNO</t>
  </si>
  <si>
    <t>SUWALDI</t>
  </si>
  <si>
    <t>6207040702720002</t>
  </si>
  <si>
    <t>ETI LASINI</t>
  </si>
  <si>
    <t>5307010704970003</t>
  </si>
  <si>
    <t>MOH SUUDI</t>
  </si>
  <si>
    <t>SALIM HIDAYAT</t>
  </si>
  <si>
    <t>3508035206950005</t>
  </si>
  <si>
    <t>MASKUR</t>
  </si>
  <si>
    <t>6207080501730001</t>
  </si>
  <si>
    <t>6207082901780001</t>
  </si>
  <si>
    <t>SETIA SIAHAAN</t>
  </si>
  <si>
    <t>IGNASIUS MARUNG</t>
  </si>
  <si>
    <t>1203214804890002</t>
  </si>
  <si>
    <t>SARNI</t>
  </si>
  <si>
    <t>3307060309910005</t>
  </si>
  <si>
    <t>6207021801910001</t>
  </si>
  <si>
    <t>6207044201820001</t>
  </si>
  <si>
    <t>SUKARSIH</t>
  </si>
  <si>
    <t>6207085008890001</t>
  </si>
  <si>
    <t>NUR SUMIATI</t>
  </si>
  <si>
    <t>6207084206920001</t>
  </si>
  <si>
    <t>SUTIKNO</t>
  </si>
  <si>
    <t>6207041204860003</t>
  </si>
  <si>
    <t>SUWARSIH</t>
  </si>
  <si>
    <t>AGUS MUNIF SARIFIN</t>
  </si>
  <si>
    <t>MARYATI</t>
  </si>
  <si>
    <t>3306145412930003</t>
  </si>
  <si>
    <t>3305234310960001</t>
  </si>
  <si>
    <t>SUSMIYATI</t>
  </si>
  <si>
    <t>ANDIKA FAJAR RAMADHAN</t>
  </si>
  <si>
    <t>TOHIDIN</t>
  </si>
  <si>
    <t>TRI PURWANTI</t>
  </si>
  <si>
    <t>ARDIANUS SANGGU</t>
  </si>
  <si>
    <t>HANIF ARIPUDIN</t>
  </si>
  <si>
    <t>PRADANA ARYA PUTRA</t>
  </si>
  <si>
    <t>ENDAH PUSPITASARI</t>
  </si>
  <si>
    <t>6207043012780002</t>
  </si>
  <si>
    <t>SUGENG RIYADI</t>
  </si>
  <si>
    <t>HERLINA</t>
  </si>
  <si>
    <t>MUNTAMAH</t>
  </si>
  <si>
    <t>6207084911780001</t>
  </si>
  <si>
    <t>6207042609770001</t>
  </si>
  <si>
    <t>SUNARILAH</t>
  </si>
  <si>
    <t>NURWIE</t>
  </si>
  <si>
    <t>6207085001800001</t>
  </si>
  <si>
    <t>DWI MINAWATI</t>
  </si>
  <si>
    <t>NUR KHAMID SULTON ARIFIN</t>
  </si>
  <si>
    <t>3502151704870005</t>
  </si>
  <si>
    <t>PARSIYAH</t>
  </si>
  <si>
    <t>KOLBERD TAMBUNAN</t>
  </si>
  <si>
    <t>ALDI RAHMATULLAH</t>
  </si>
  <si>
    <t>6207082009000001</t>
  </si>
  <si>
    <t>MAHWAN</t>
  </si>
  <si>
    <t>3305242212880001</t>
  </si>
  <si>
    <t>SUSI</t>
  </si>
  <si>
    <t>3305246308910003</t>
  </si>
  <si>
    <t>SUMIYATI</t>
  </si>
  <si>
    <t>3306124906950005</t>
  </si>
  <si>
    <t>KISWANTO</t>
  </si>
  <si>
    <t>CIPTONO</t>
  </si>
  <si>
    <t>6207080504830001</t>
  </si>
  <si>
    <t>WARNI</t>
  </si>
  <si>
    <t>MISRI</t>
  </si>
  <si>
    <t>MAT SARIMAN</t>
  </si>
  <si>
    <t>6207081008860001</t>
  </si>
  <si>
    <t>6207041001810005</t>
  </si>
  <si>
    <t>NGATINI</t>
  </si>
  <si>
    <t>PARYONO KUKUH</t>
  </si>
  <si>
    <t>JUHAIRI RAHMAN</t>
  </si>
  <si>
    <t>6207041010780003</t>
  </si>
  <si>
    <t>6207041002740004</t>
  </si>
  <si>
    <t>WINDARTI</t>
  </si>
  <si>
    <t>6207041312750001</t>
  </si>
  <si>
    <t>6207046206840001</t>
  </si>
  <si>
    <t>SARTINEM</t>
  </si>
  <si>
    <t>6202071011750003</t>
  </si>
  <si>
    <t>6207040504750006</t>
  </si>
  <si>
    <t>BAMBANG PUJIANTO</t>
  </si>
  <si>
    <t>6207042305780003</t>
  </si>
  <si>
    <t>PAINO</t>
  </si>
  <si>
    <t>6207040405830002</t>
  </si>
  <si>
    <t>6207084703870001</t>
  </si>
  <si>
    <t>6207085312710001</t>
  </si>
  <si>
    <t>6207044812810001</t>
  </si>
  <si>
    <t>SUBANDRI</t>
  </si>
  <si>
    <t>6207045603800002</t>
  </si>
  <si>
    <t>6207082108790001</t>
  </si>
  <si>
    <t>DARDI</t>
  </si>
  <si>
    <t>YUANI</t>
  </si>
  <si>
    <t>ZAINAL ARIFIN</t>
  </si>
  <si>
    <t>6207080906770001</t>
  </si>
  <si>
    <t>6213062311930001</t>
  </si>
  <si>
    <t>DARUS ARYADI</t>
  </si>
  <si>
    <t>6207082804880001</t>
  </si>
  <si>
    <t>KAMINO</t>
  </si>
  <si>
    <t>6207080109820001</t>
  </si>
  <si>
    <t>NURYANI</t>
  </si>
  <si>
    <t>3307152010840003</t>
  </si>
  <si>
    <t>6207040205770003</t>
  </si>
  <si>
    <t>PAINTEN</t>
  </si>
  <si>
    <t>6201060201850001</t>
  </si>
  <si>
    <t>3304154509800001</t>
  </si>
  <si>
    <t>MAULANA</t>
  </si>
  <si>
    <t>RASTI</t>
  </si>
  <si>
    <t>6207084911830002</t>
  </si>
  <si>
    <t>SARYATUN</t>
  </si>
  <si>
    <t>6207042703850001</t>
  </si>
  <si>
    <t>3304046702850001</t>
  </si>
  <si>
    <t>6207044808860002</t>
  </si>
  <si>
    <t>SUKARNA PUTRA</t>
  </si>
  <si>
    <t>6271014912800005</t>
  </si>
  <si>
    <t>6207042501840001</t>
  </si>
  <si>
    <t>KURNIAWATI</t>
  </si>
  <si>
    <t>SIPRIANUS OLE AWA</t>
  </si>
  <si>
    <t>BUDI</t>
  </si>
  <si>
    <t>RUJIANUR</t>
  </si>
  <si>
    <t>SAIBATUL HAMDI</t>
  </si>
  <si>
    <t>YEMELIA</t>
  </si>
  <si>
    <t>NUR JAMALUDIN</t>
  </si>
  <si>
    <t>SARMO</t>
  </si>
  <si>
    <t>LIUNGGUH</t>
  </si>
  <si>
    <t>MISWANTO</t>
  </si>
  <si>
    <t>KIPDULLAH HADI ASKAR</t>
  </si>
  <si>
    <t>6202090209820002</t>
  </si>
  <si>
    <t>6202110707970001</t>
  </si>
  <si>
    <t>WATI</t>
  </si>
  <si>
    <t>RIVA MUNIKA</t>
  </si>
  <si>
    <t>KINO</t>
  </si>
  <si>
    <t>6207082101740001</t>
  </si>
  <si>
    <t>6207041204760006</t>
  </si>
  <si>
    <t>MARINAH</t>
  </si>
  <si>
    <t>NANANG IRWAN</t>
  </si>
  <si>
    <t>6207085404840001</t>
  </si>
  <si>
    <t>RIYONO</t>
  </si>
  <si>
    <t>ALIP</t>
  </si>
  <si>
    <t>6207041005740002</t>
  </si>
  <si>
    <t>3524200407800001</t>
  </si>
  <si>
    <t>6207080504840003</t>
  </si>
  <si>
    <t>LILIS</t>
  </si>
  <si>
    <t>3510021607880001</t>
  </si>
  <si>
    <t>6207042804790002</t>
  </si>
  <si>
    <t>6207086504780001</t>
  </si>
  <si>
    <t>JUMINI</t>
  </si>
  <si>
    <t>3309041506960002</t>
  </si>
  <si>
    <t>NGABDUL KHOLIK</t>
  </si>
  <si>
    <t>6207040512990003</t>
  </si>
  <si>
    <t>RONALDUS NGGUNG</t>
  </si>
  <si>
    <t>5310140701000006</t>
  </si>
  <si>
    <t>MISTUN</t>
  </si>
  <si>
    <t>3307042206800003</t>
  </si>
  <si>
    <t>MARSILAH</t>
  </si>
  <si>
    <t>ALPIAH</t>
  </si>
  <si>
    <t>6207044303740001</t>
  </si>
  <si>
    <t>SAIDIN</t>
  </si>
  <si>
    <t>3307011002720006</t>
  </si>
  <si>
    <t>JAMILAH</t>
  </si>
  <si>
    <t>PONIMAN</t>
  </si>
  <si>
    <t>KHASIDIN</t>
  </si>
  <si>
    <t>6207083008920002</t>
  </si>
  <si>
    <t>6207044308810001</t>
  </si>
  <si>
    <t>ARI WIBOWO</t>
  </si>
  <si>
    <t>3304072802940001</t>
  </si>
  <si>
    <t>6207041704770001</t>
  </si>
  <si>
    <t>PUGUH CAHYONO</t>
  </si>
  <si>
    <t>6206101504930001</t>
  </si>
  <si>
    <t>6207046802920003</t>
  </si>
  <si>
    <t>MIFTAKHUL IKHSAN</t>
  </si>
  <si>
    <t>3306142904960002</t>
  </si>
  <si>
    <t>LAILA RISTANTI</t>
  </si>
  <si>
    <t>RAHMADIANUR</t>
  </si>
  <si>
    <t>6202111210030001</t>
  </si>
  <si>
    <t>SERVOLUS BARU</t>
  </si>
  <si>
    <t>6207041110740001</t>
  </si>
  <si>
    <t>SITI SA'ADAH</t>
  </si>
  <si>
    <t>6207084104810001</t>
  </si>
  <si>
    <t>MARTA SUPRAJA</t>
  </si>
  <si>
    <t>WAGIRAN</t>
  </si>
  <si>
    <t>6207042606790002</t>
  </si>
  <si>
    <t>SUPARTI</t>
  </si>
  <si>
    <t>RINO</t>
  </si>
  <si>
    <t>MISMAN</t>
  </si>
  <si>
    <t>SUNGKONO</t>
  </si>
  <si>
    <t>SUSANTI</t>
  </si>
  <si>
    <t>RUBINO</t>
  </si>
  <si>
    <t>6207084712880001</t>
  </si>
  <si>
    <t>DESY RAMADHIAN</t>
  </si>
  <si>
    <t>3307074902960002</t>
  </si>
  <si>
    <t>KARSONO</t>
  </si>
  <si>
    <t>6207081003860001</t>
  </si>
  <si>
    <t>6207082005780001</t>
  </si>
  <si>
    <t>6207041605850001</t>
  </si>
  <si>
    <t>NIKALIA TRI ASTUTI</t>
  </si>
  <si>
    <t>6201055803970001</t>
  </si>
  <si>
    <t>KHASANAH</t>
  </si>
  <si>
    <t>GIYONO</t>
  </si>
  <si>
    <t>MUNSORIF</t>
  </si>
  <si>
    <t>5319010107950170</t>
  </si>
  <si>
    <t>6207080406810001</t>
  </si>
  <si>
    <t>6207082908890001</t>
  </si>
  <si>
    <t>SYARIFUDIN</t>
  </si>
  <si>
    <t>6207081206780001</t>
  </si>
  <si>
    <t>SITI MASRUROH</t>
  </si>
  <si>
    <t>LINDA KRISTINAWATI</t>
  </si>
  <si>
    <t>3304112805940002</t>
  </si>
  <si>
    <t>6207080903830001</t>
  </si>
  <si>
    <t>FITRIYANI</t>
  </si>
  <si>
    <t>6207042904910001</t>
  </si>
  <si>
    <t>KASMI</t>
  </si>
  <si>
    <t>WAGIYO</t>
  </si>
  <si>
    <t>6207084105920001</t>
  </si>
  <si>
    <t>YATIN</t>
  </si>
  <si>
    <t>6207040706720002</t>
  </si>
  <si>
    <t>MARILAH</t>
  </si>
  <si>
    <t>6207084110860001</t>
  </si>
  <si>
    <t>6207084706790002</t>
  </si>
  <si>
    <t>WIDIYANTORO</t>
  </si>
  <si>
    <t>PURWADI</t>
  </si>
  <si>
    <t>6207041606850003</t>
  </si>
  <si>
    <t>PARMI</t>
  </si>
  <si>
    <t>WIBONO</t>
  </si>
  <si>
    <t>NENENG ROKAYA</t>
  </si>
  <si>
    <t>3301014103880002</t>
  </si>
  <si>
    <t>WASIATI</t>
  </si>
  <si>
    <t>6207045202820003</t>
  </si>
  <si>
    <t>6207085504790001</t>
  </si>
  <si>
    <t>MISRUN</t>
  </si>
  <si>
    <t>3304111808800004</t>
  </si>
  <si>
    <t>TUYANTI</t>
  </si>
  <si>
    <t>3304114804880007</t>
  </si>
  <si>
    <t>3309102507929005</t>
  </si>
  <si>
    <t>6207084203790002</t>
  </si>
  <si>
    <t>WASIMAN</t>
  </si>
  <si>
    <t>6202130606870001</t>
  </si>
  <si>
    <t>6207041608940002</t>
  </si>
  <si>
    <t>MARDIN SIREGAR</t>
  </si>
  <si>
    <t>1203051708970001</t>
  </si>
  <si>
    <t>ASIYAH</t>
  </si>
  <si>
    <t>SUTINO</t>
  </si>
  <si>
    <t>SUJONO</t>
  </si>
  <si>
    <t>6207046107840001</t>
  </si>
  <si>
    <t>UTAMIYEKTI</t>
  </si>
  <si>
    <t>MUSTOFA</t>
  </si>
  <si>
    <t>1807136512860001</t>
  </si>
  <si>
    <t>6207045106870002</t>
  </si>
  <si>
    <t>YURI DESTIANI</t>
  </si>
  <si>
    <t>3301200501850004</t>
  </si>
  <si>
    <t>3301091005920001</t>
  </si>
  <si>
    <t>DARTALIM</t>
  </si>
  <si>
    <t>PURWONO</t>
  </si>
  <si>
    <t>LUDIONO</t>
  </si>
  <si>
    <t>6207082503780001</t>
  </si>
  <si>
    <t>JASMIN</t>
  </si>
  <si>
    <t>6207040112830002</t>
  </si>
  <si>
    <t>SLAMET PURWANTO</t>
  </si>
  <si>
    <t>SIBUN</t>
  </si>
  <si>
    <t>KASIYATI</t>
  </si>
  <si>
    <t>FAISOL WAHYU ARIANTO</t>
  </si>
  <si>
    <t>6207081504770002</t>
  </si>
  <si>
    <t>SARA NURASIH</t>
  </si>
  <si>
    <t>6207040101780007</t>
  </si>
  <si>
    <t>6207085210740001</t>
  </si>
  <si>
    <t>6207034611830002</t>
  </si>
  <si>
    <t>1208042105850003</t>
  </si>
  <si>
    <t>AMRI</t>
  </si>
  <si>
    <t>6207044907810002</t>
  </si>
  <si>
    <t>KASIRAN</t>
  </si>
  <si>
    <t>SODIKIN</t>
  </si>
  <si>
    <t>3327082601850081</t>
  </si>
  <si>
    <t>PARDI</t>
  </si>
  <si>
    <t>NUR TAUFIK</t>
  </si>
  <si>
    <t>6202061803730003</t>
  </si>
  <si>
    <t>6207081310880001</t>
  </si>
  <si>
    <t>6207044410790002</t>
  </si>
  <si>
    <t>6207080106780001</t>
  </si>
  <si>
    <t>HARIYANTI</t>
  </si>
  <si>
    <t>PONI SAHARI KURNIAWAN</t>
  </si>
  <si>
    <t>6207082808840001</t>
  </si>
  <si>
    <t>RIYATI</t>
  </si>
  <si>
    <t>SUYATIN</t>
  </si>
  <si>
    <t>6207045208800004</t>
  </si>
  <si>
    <t>6207081008760001</t>
  </si>
  <si>
    <t>6207085005820001</t>
  </si>
  <si>
    <t>6207082512990001</t>
  </si>
  <si>
    <t>5307010802000001</t>
  </si>
  <si>
    <t>3306046911970001</t>
  </si>
  <si>
    <t>3303020608880001</t>
  </si>
  <si>
    <t>6207092112980001</t>
  </si>
  <si>
    <t>3273034106910002</t>
  </si>
  <si>
    <t>6203124603970001</t>
  </si>
  <si>
    <t>1803031606870001</t>
  </si>
  <si>
    <t>3303132702820002</t>
  </si>
  <si>
    <t>ISAH</t>
  </si>
  <si>
    <t>6201051801860002</t>
  </si>
  <si>
    <t>3301101305830007</t>
  </si>
  <si>
    <t>6207081607960001</t>
  </si>
  <si>
    <t>6202094809990004</t>
  </si>
  <si>
    <t>3301104401870002</t>
  </si>
  <si>
    <t>6303031205830007</t>
  </si>
  <si>
    <t>3307070301990002</t>
  </si>
  <si>
    <t>SUTINI</t>
  </si>
  <si>
    <t>NUR AYADI</t>
  </si>
  <si>
    <t>3305063006800002</t>
  </si>
  <si>
    <t>ANISA</t>
  </si>
  <si>
    <t>MUHAMAD AMIRUDIN</t>
  </si>
  <si>
    <t>MUHAMAD ALI SADIKIN</t>
  </si>
  <si>
    <t>LATUN</t>
  </si>
  <si>
    <t>6206104204870003</t>
  </si>
  <si>
    <t>ROSANNI IDAMAULI SARAGIH</t>
  </si>
  <si>
    <t>1223056904830003</t>
  </si>
  <si>
    <t>6207086501810001</t>
  </si>
  <si>
    <t>RIKY ARIA BOBI</t>
  </si>
  <si>
    <t>6202092009000005</t>
  </si>
  <si>
    <t>5310122109020003</t>
  </si>
  <si>
    <t>KORNELIA SINTA</t>
  </si>
  <si>
    <t>3306126206840002</t>
  </si>
  <si>
    <t>ANTONIUS HASRAT</t>
  </si>
  <si>
    <t>6207022711841001</t>
  </si>
  <si>
    <t>MARIA ERLINA RIMBA</t>
  </si>
  <si>
    <t>HASBI HAMZAH LEWOTAN</t>
  </si>
  <si>
    <t>5306072004920002</t>
  </si>
  <si>
    <t>ANTON BAYU SAPUTRA</t>
  </si>
  <si>
    <t>6202142809030001</t>
  </si>
  <si>
    <t>3304011206920003</t>
  </si>
  <si>
    <t>SANDRA MUHAMMAD YUSUF</t>
  </si>
  <si>
    <t>6207036702940001</t>
  </si>
  <si>
    <t>SUPARMIATI</t>
  </si>
  <si>
    <t>ROHMAH</t>
  </si>
  <si>
    <t>3318185209920002</t>
  </si>
  <si>
    <t>EDY SETIYANTO</t>
  </si>
  <si>
    <t>3305232903010001</t>
  </si>
  <si>
    <t>NUZLA ALFINTA RAHMI</t>
  </si>
  <si>
    <t>6207046312020002</t>
  </si>
  <si>
    <t>MAKMUR</t>
  </si>
  <si>
    <t>3303131611900002</t>
  </si>
  <si>
    <t>AHMAD RAFI'I</t>
  </si>
  <si>
    <t>6207011205030005</t>
  </si>
  <si>
    <t>6207016809990001</t>
  </si>
  <si>
    <t>DELLA SISNAWATI</t>
  </si>
  <si>
    <t>6207024406970001</t>
  </si>
  <si>
    <t>3302190905790003</t>
  </si>
  <si>
    <t>3307076010790005</t>
  </si>
  <si>
    <t>ARI SETYARINI</t>
  </si>
  <si>
    <t>6207086005000001</t>
  </si>
  <si>
    <t>JUWARTI</t>
  </si>
  <si>
    <t>3304044607840010</t>
  </si>
  <si>
    <t>3306115311940001</t>
  </si>
  <si>
    <t>NUSROTUL KHOROMAH</t>
  </si>
  <si>
    <t>3305244803980001</t>
  </si>
  <si>
    <t>PARDANINGSIH</t>
  </si>
  <si>
    <t>3306114908920006</t>
  </si>
  <si>
    <t>ROWIYAH</t>
  </si>
  <si>
    <t>3307155310910001</t>
  </si>
  <si>
    <t>SITI MARYAMAH</t>
  </si>
  <si>
    <t>3306114912940003</t>
  </si>
  <si>
    <t>GHOFURU ROKHIM</t>
  </si>
  <si>
    <t>3304040107910001</t>
  </si>
  <si>
    <t>TAUFIK</t>
  </si>
  <si>
    <t>3306111507880001</t>
  </si>
  <si>
    <t>MASDUKI PUTRA SETIAWAN</t>
  </si>
  <si>
    <t>3305231405980002</t>
  </si>
  <si>
    <t>3306112001870004</t>
  </si>
  <si>
    <t>MUHAMMAD YUSUP</t>
  </si>
  <si>
    <t>3306163107880002</t>
  </si>
  <si>
    <t>SUGENG ERMANSAH</t>
  </si>
  <si>
    <t>6301071412930002</t>
  </si>
  <si>
    <t>6201055212880001</t>
  </si>
  <si>
    <t>GUNAWAN ARIWIBOWO</t>
  </si>
  <si>
    <t>6207083108910001</t>
  </si>
  <si>
    <t>6207025007901001</t>
  </si>
  <si>
    <t>6202095902910001</t>
  </si>
  <si>
    <t>TENTREM TRIMO</t>
  </si>
  <si>
    <t>3307071508760003</t>
  </si>
  <si>
    <t>6207047012800001</t>
  </si>
  <si>
    <t>ROESTAM</t>
  </si>
  <si>
    <t>3301011709900003</t>
  </si>
  <si>
    <t>MIFTAHUL SUJANAH</t>
  </si>
  <si>
    <t>3307061612030006</t>
  </si>
  <si>
    <t>RUJIAH</t>
  </si>
  <si>
    <t>HADI PURWANTO</t>
  </si>
  <si>
    <t>3306011406820007</t>
  </si>
  <si>
    <t>SARNANI</t>
  </si>
  <si>
    <t>AHMAD FAIZIN FATAH YASIN</t>
  </si>
  <si>
    <t>3306111704980006</t>
  </si>
  <si>
    <t>MARTIANINGSIH</t>
  </si>
  <si>
    <t>IRWAN ASRORI</t>
  </si>
  <si>
    <t>5203083112820519</t>
  </si>
  <si>
    <t>BQ. SITI NURBAETI</t>
  </si>
  <si>
    <t>5203086606870001</t>
  </si>
  <si>
    <t>BUDIANTO</t>
  </si>
  <si>
    <t>3501090605830004</t>
  </si>
  <si>
    <t>TRI NURAINI</t>
  </si>
  <si>
    <t>3501096706860003</t>
  </si>
  <si>
    <t>AGUS SETIAWAN</t>
  </si>
  <si>
    <t>3306062503800001</t>
  </si>
  <si>
    <t>NUR HAYATI</t>
  </si>
  <si>
    <t>3306086805860002</t>
  </si>
  <si>
    <t>ANTON</t>
  </si>
  <si>
    <t>6207082805880001</t>
  </si>
  <si>
    <t>ALIF ZULFIKAR DZISSULTANU</t>
  </si>
  <si>
    <t>3306012203030003</t>
  </si>
  <si>
    <t>FAJAR JOKO SAPUTRO</t>
  </si>
  <si>
    <t>3309041109959004</t>
  </si>
  <si>
    <t>EKA PUJI LESTARI</t>
  </si>
  <si>
    <t>IRWAN</t>
  </si>
  <si>
    <t>3204462302870003</t>
  </si>
  <si>
    <t>FIRMAN SYAH</t>
  </si>
  <si>
    <t>3307022201010001</t>
  </si>
  <si>
    <t>NAWAWI</t>
  </si>
  <si>
    <t>3307012108770001</t>
  </si>
  <si>
    <t>3305084107000047</t>
  </si>
  <si>
    <t>LIA</t>
  </si>
  <si>
    <t>6202065106970001</t>
  </si>
  <si>
    <t>M. MUHAROR</t>
  </si>
  <si>
    <t>3306121210810002</t>
  </si>
  <si>
    <t>RISTA MALA</t>
  </si>
  <si>
    <t>LAPIDA YUNIANTI</t>
  </si>
  <si>
    <t>6108064206950008</t>
  </si>
  <si>
    <t>JUSRI</t>
  </si>
  <si>
    <t>5203160604810001</t>
  </si>
  <si>
    <t>6207043009920001</t>
  </si>
  <si>
    <t>DARSINI</t>
  </si>
  <si>
    <t>3307045202820008</t>
  </si>
  <si>
    <t>3307026201980004</t>
  </si>
  <si>
    <t>6202025601930001</t>
  </si>
  <si>
    <t>6372025708910003</t>
  </si>
  <si>
    <t>6206105506870002</t>
  </si>
  <si>
    <t>GRADIANA GUDE</t>
  </si>
  <si>
    <t>6207085709830001</t>
  </si>
  <si>
    <t>PAWIDIYANTORO</t>
  </si>
  <si>
    <t>WAHIDATI HUSWATUN HASANAH</t>
  </si>
  <si>
    <t>ABDUL ROHIM</t>
  </si>
  <si>
    <t>DEWI NOVITASARI</t>
  </si>
  <si>
    <t>3304050606790001</t>
  </si>
  <si>
    <t>MAIROH</t>
  </si>
  <si>
    <t>EDI SUSANTO</t>
  </si>
  <si>
    <t>3501090912930003</t>
  </si>
  <si>
    <t>EKO GESANG PRIBADI</t>
  </si>
  <si>
    <t>3306011711880003</t>
  </si>
  <si>
    <t>KUSMIATI</t>
  </si>
  <si>
    <t>3306016506840002</t>
  </si>
  <si>
    <t>SUKIR</t>
  </si>
  <si>
    <t>6202140809770001</t>
  </si>
  <si>
    <t>TRI LESTARI</t>
  </si>
  <si>
    <t>6202146801770001</t>
  </si>
  <si>
    <t>3304055809810003</t>
  </si>
  <si>
    <t>ALI PURNOMO</t>
  </si>
  <si>
    <t>6202141606840002</t>
  </si>
  <si>
    <t>DANA</t>
  </si>
  <si>
    <t>6202145005880004</t>
  </si>
  <si>
    <t>IKA FATONI</t>
  </si>
  <si>
    <t>3301192605880002</t>
  </si>
  <si>
    <t>WAFIROTUR RIF'ATI</t>
  </si>
  <si>
    <t>3301194811920002</t>
  </si>
  <si>
    <t>KUWAT HERDIAWAN</t>
  </si>
  <si>
    <t>3307012811820005</t>
  </si>
  <si>
    <t>MUDIONO</t>
  </si>
  <si>
    <t>6207041406800005</t>
  </si>
  <si>
    <t>ALI SAKBAN SIREGAR</t>
  </si>
  <si>
    <t>1210081501940001</t>
  </si>
  <si>
    <t>6207044104940001</t>
  </si>
  <si>
    <t>DEKA WULANDARI</t>
  </si>
  <si>
    <t>6207044311020002</t>
  </si>
  <si>
    <t>ERVINA LESTARI</t>
  </si>
  <si>
    <t>6207044102010002</t>
  </si>
  <si>
    <t>6207045901980001</t>
  </si>
  <si>
    <t>AHMAD FAUZI</t>
  </si>
  <si>
    <t>3307030404000007</t>
  </si>
  <si>
    <t>TAMBAR GUNTARNA GINTING</t>
  </si>
  <si>
    <t>EVA DIAN NINGSIH</t>
  </si>
  <si>
    <t>3304055112030001</t>
  </si>
  <si>
    <t>RASMIN</t>
  </si>
  <si>
    <t>3307040208770002</t>
  </si>
  <si>
    <t>3307046612790002</t>
  </si>
  <si>
    <t>MAHLI JAYADI</t>
  </si>
  <si>
    <t>MULIATIN</t>
  </si>
  <si>
    <t>5208044101950003</t>
  </si>
  <si>
    <t>6207044504810003</t>
  </si>
  <si>
    <t>6210044110960002</t>
  </si>
  <si>
    <t>LUCKY PRIMAWAN DAMANIK</t>
  </si>
  <si>
    <t>1218080502970004</t>
  </si>
  <si>
    <t>SURYA DEWI SIMBOLON</t>
  </si>
  <si>
    <t>RIKI DWI PUTRA</t>
  </si>
  <si>
    <t>3305082906970003</t>
  </si>
  <si>
    <t>SILVESTER VALDI KADUR</t>
  </si>
  <si>
    <t>5319022005990001</t>
  </si>
  <si>
    <t>1208072312960001</t>
  </si>
  <si>
    <t>6201056307920002</t>
  </si>
  <si>
    <t>INDAH MAYANG SARI</t>
  </si>
  <si>
    <t>SUPRIYONO</t>
  </si>
  <si>
    <t>3304011010930003</t>
  </si>
  <si>
    <t>SISORAHARTI</t>
  </si>
  <si>
    <t>ERIM</t>
  </si>
  <si>
    <t>5202081208770004</t>
  </si>
  <si>
    <t>ANIRI</t>
  </si>
  <si>
    <t>MAULAYA NI'MATUR ROFIKOH</t>
  </si>
  <si>
    <t>6207085807030001</t>
  </si>
  <si>
    <t>3304014210970002</t>
  </si>
  <si>
    <t>5202084107900566</t>
  </si>
  <si>
    <t>ASIEN. CB</t>
  </si>
  <si>
    <t>ABDUL RAIS</t>
  </si>
  <si>
    <t>6202111011780001</t>
  </si>
  <si>
    <t>SABIRIN</t>
  </si>
  <si>
    <t>6202073004820001</t>
  </si>
  <si>
    <t>HAIRUNISA</t>
  </si>
  <si>
    <t>UPIK</t>
  </si>
  <si>
    <t>6207081305010001</t>
  </si>
  <si>
    <t>6202076707840002</t>
  </si>
  <si>
    <t>6201061706950001</t>
  </si>
  <si>
    <t>EVA LISTIYANI</t>
  </si>
  <si>
    <t>TA'AT SENO AJI</t>
  </si>
  <si>
    <t>3304030808030004</t>
  </si>
  <si>
    <t>WOTO</t>
  </si>
  <si>
    <t>3303131708820001</t>
  </si>
  <si>
    <t>TRYONO WIDI PAMUNGKAS</t>
  </si>
  <si>
    <t>3306122306030006</t>
  </si>
  <si>
    <t>TEGAR JANUARDY SUGIAR</t>
  </si>
  <si>
    <t>6207042901040003</t>
  </si>
  <si>
    <t>3305065808760001</t>
  </si>
  <si>
    <t>6201064512980003</t>
  </si>
  <si>
    <t>6207045010810004</t>
  </si>
  <si>
    <t>NURDAN</t>
  </si>
  <si>
    <t>5203203112850529</t>
  </si>
  <si>
    <t>SRI PURNAWATI</t>
  </si>
  <si>
    <t>MARWI</t>
  </si>
  <si>
    <t>5202011008040003</t>
  </si>
  <si>
    <t>SAHNIWATI</t>
  </si>
  <si>
    <t>5202034101930007</t>
  </si>
  <si>
    <t>5202084810950002</t>
  </si>
  <si>
    <t>ERIK CHARLES HALOMOAN SITOMPUL</t>
  </si>
  <si>
    <t>1273021107040002</t>
  </si>
  <si>
    <t>TOPAN SASMITA</t>
  </si>
  <si>
    <t>6207040902000001</t>
  </si>
  <si>
    <t>REVI SILVIYANA</t>
  </si>
  <si>
    <t>6202076112010001</t>
  </si>
  <si>
    <t>CATUR WIBISONO</t>
  </si>
  <si>
    <t>3509221804000001</t>
  </si>
  <si>
    <t>ALIF AL HANAFI AKBAR</t>
  </si>
  <si>
    <t>3304152108040002</t>
  </si>
  <si>
    <t>MUHAMAD SAEFUL</t>
  </si>
  <si>
    <t>RAHMAWATI</t>
  </si>
  <si>
    <t>MUHAMAD RONI</t>
  </si>
  <si>
    <t>6207011001040006</t>
  </si>
  <si>
    <t>WAHYU HIDAYAT</t>
  </si>
  <si>
    <t>3307010402970004</t>
  </si>
  <si>
    <t>AI NURJANAH</t>
  </si>
  <si>
    <t>3203096903940002</t>
  </si>
  <si>
    <t>ADITIARTO PRASOJO</t>
  </si>
  <si>
    <t>6207040404040003</t>
  </si>
  <si>
    <t>IAN PURNIAWAN</t>
  </si>
  <si>
    <t>3306012909050002</t>
  </si>
  <si>
    <t>SLAMET HAMDANI</t>
  </si>
  <si>
    <t>6206101803820001</t>
  </si>
  <si>
    <t>6202094804020002</t>
  </si>
  <si>
    <t>LIDIA LIRA ANUR</t>
  </si>
  <si>
    <t>5319014801980001</t>
  </si>
  <si>
    <t>3306016401840001</t>
  </si>
  <si>
    <t>ZURIATUN</t>
  </si>
  <si>
    <t>5202096708880002</t>
  </si>
  <si>
    <t>NURSALIM</t>
  </si>
  <si>
    <t>5202083112720054</t>
  </si>
  <si>
    <t>FATUR ROHMAN</t>
  </si>
  <si>
    <t>3307152108960002</t>
  </si>
  <si>
    <t>TARSIDIN</t>
  </si>
  <si>
    <t>3207180911810002</t>
  </si>
  <si>
    <t>LENI NURYATI</t>
  </si>
  <si>
    <t>AIDA SAFITRI</t>
  </si>
  <si>
    <t>6202094306030001</t>
  </si>
  <si>
    <t>FERI SETIAWAN</t>
  </si>
  <si>
    <t>3306140803940002</t>
  </si>
  <si>
    <t>LUTFIATUS SAKINAH</t>
  </si>
  <si>
    <t>SUGIYONO</t>
  </si>
  <si>
    <t>3305231507890002</t>
  </si>
  <si>
    <t>3308171705880001</t>
  </si>
  <si>
    <t>RIZKI MAULANA</t>
  </si>
  <si>
    <t>RUWINAH</t>
  </si>
  <si>
    <t>SRI MULYATI</t>
  </si>
  <si>
    <t>SUMARDIONO</t>
  </si>
  <si>
    <t>HENDRI KARISMA</t>
  </si>
  <si>
    <t>ALFA ROMADHON</t>
  </si>
  <si>
    <t>HABIB JAMALLULAIL .M</t>
  </si>
  <si>
    <t>NANA MULYANA</t>
  </si>
  <si>
    <t>ANDRI PERMANA</t>
  </si>
  <si>
    <t>MELKI DONI</t>
  </si>
  <si>
    <t>MUHTAR</t>
  </si>
  <si>
    <t>HALIMAH</t>
  </si>
  <si>
    <t>NONENG</t>
  </si>
  <si>
    <t>6202140704850001</t>
  </si>
  <si>
    <t>6207082308790001</t>
  </si>
  <si>
    <t>6207080408790001</t>
  </si>
  <si>
    <t>6207080710860001</t>
  </si>
  <si>
    <t>6207080203770001</t>
  </si>
  <si>
    <t>6207081903870001</t>
  </si>
  <si>
    <t>6207087010810001</t>
  </si>
  <si>
    <t>6207081011840001</t>
  </si>
  <si>
    <t>6207082102780001</t>
  </si>
  <si>
    <t>6207080108790001</t>
  </si>
  <si>
    <t>6207080203780001</t>
  </si>
  <si>
    <t>6207081303810001</t>
  </si>
  <si>
    <t>6207080208790002</t>
  </si>
  <si>
    <t>3307070507910004</t>
  </si>
  <si>
    <t>1208041905900001</t>
  </si>
  <si>
    <t>3305080808920001</t>
  </si>
  <si>
    <t>6402134505901007</t>
  </si>
  <si>
    <t>6207082306840001</t>
  </si>
  <si>
    <t>6207086806770001</t>
  </si>
  <si>
    <t>3307070507930005</t>
  </si>
  <si>
    <t>3305235508900001</t>
  </si>
  <si>
    <t>SUIS KURNIATI</t>
  </si>
  <si>
    <t>6207044804750001</t>
  </si>
  <si>
    <t>6207084412910001</t>
  </si>
  <si>
    <t>6207086012820001</t>
  </si>
  <si>
    <t>6207085310990001</t>
  </si>
  <si>
    <t>MARIA MERSI LIANA LOMA</t>
  </si>
  <si>
    <t>DINA OKTAVIANI</t>
  </si>
  <si>
    <t>5316042807860001</t>
  </si>
  <si>
    <t>5319010107970206</t>
  </si>
  <si>
    <t>5208040112900002</t>
  </si>
  <si>
    <t>3206020107830034</t>
  </si>
  <si>
    <t>5203083112900317</t>
  </si>
  <si>
    <t>6207082810040001</t>
  </si>
  <si>
    <t>3207244108890002</t>
  </si>
  <si>
    <t>3206032805840003</t>
  </si>
  <si>
    <t>1702241604820003</t>
  </si>
  <si>
    <t>5202100107820442</t>
  </si>
  <si>
    <t>1311014102800003</t>
  </si>
  <si>
    <t>3206034107920108</t>
  </si>
  <si>
    <t>6207045808010001</t>
  </si>
  <si>
    <t>3206276701020001</t>
  </si>
  <si>
    <t>3308014208940003</t>
  </si>
  <si>
    <t>EKA ARDIAN SETIANTO</t>
  </si>
  <si>
    <t>EDUL RACHMAN HUTAGALUNG</t>
  </si>
  <si>
    <t>AMAD SUKIMAN</t>
  </si>
  <si>
    <t>3206276010910002</t>
  </si>
  <si>
    <t>KAMINI</t>
  </si>
  <si>
    <t>3303135505810003</t>
  </si>
  <si>
    <t>WIRYANTO</t>
  </si>
  <si>
    <t>3303130510760001</t>
  </si>
  <si>
    <t>KIJO</t>
  </si>
  <si>
    <t>3304072411830002</t>
  </si>
  <si>
    <t>BAYU KRISTANTO</t>
  </si>
  <si>
    <t>6207081005050001</t>
  </si>
  <si>
    <t>3404036803970001</t>
  </si>
  <si>
    <t>SALIM</t>
  </si>
  <si>
    <t>3303130603910003</t>
  </si>
  <si>
    <t>LILIS MUNAWAROH</t>
  </si>
  <si>
    <t>3307025701020002</t>
  </si>
  <si>
    <t>3275096910930011</t>
  </si>
  <si>
    <t>WAHYU PAMUNGKAS</t>
  </si>
  <si>
    <t>3306131612820002</t>
  </si>
  <si>
    <t>TINTARYANI</t>
  </si>
  <si>
    <t>3306136303870002</t>
  </si>
  <si>
    <t>HEPRIANDI SILITONGA</t>
  </si>
  <si>
    <t>1203300512920001</t>
  </si>
  <si>
    <t>AGUS SAPUTRO</t>
  </si>
  <si>
    <t>6207042105010002</t>
  </si>
  <si>
    <t>ANDHYKA DESHSHETTA</t>
  </si>
  <si>
    <t>3305231506040001</t>
  </si>
  <si>
    <t>CAHYONO</t>
  </si>
  <si>
    <t>1207061806840001</t>
  </si>
  <si>
    <t>EKA FAUZIAH BR SEMBIRING</t>
  </si>
  <si>
    <t>MUHAMMAD NASRUL IZA AINUL WAFA</t>
  </si>
  <si>
    <t>6207032002060001</t>
  </si>
  <si>
    <t>NATALIS WODA</t>
  </si>
  <si>
    <t>5307170412920001</t>
  </si>
  <si>
    <t>1207085008850001</t>
  </si>
  <si>
    <t>ANJAS TAUFIK KUR ROHMAN</t>
  </si>
  <si>
    <t>6207042111940001</t>
  </si>
  <si>
    <t>SOFI LIANTI</t>
  </si>
  <si>
    <t>SEPTIAN DWI AHMAD</t>
  </si>
  <si>
    <t>3305082909040001</t>
  </si>
  <si>
    <t>AGUS MULYADI</t>
  </si>
  <si>
    <t>6201062409010003</t>
  </si>
  <si>
    <t>STEFANUS TANI</t>
  </si>
  <si>
    <t>5307121006930001</t>
  </si>
  <si>
    <t>SUGENG ASROR</t>
  </si>
  <si>
    <t>3307011602950003</t>
  </si>
  <si>
    <t>DENY HERYANTO</t>
  </si>
  <si>
    <t>TITI SUMANTI</t>
  </si>
  <si>
    <t>3309045305970002</t>
  </si>
  <si>
    <t>6207044908920001</t>
  </si>
  <si>
    <t>MOKHAMAD RIZQI</t>
  </si>
  <si>
    <t>3304076903010002</t>
  </si>
  <si>
    <t>AHMAD DAELANI</t>
  </si>
  <si>
    <t>3206301109840001</t>
  </si>
  <si>
    <t>NURASIAH</t>
  </si>
  <si>
    <t>3206275002990001</t>
  </si>
  <si>
    <t>AHMAD KHAIRUL ADI</t>
  </si>
  <si>
    <t>6207082802000001</t>
  </si>
  <si>
    <t>SITI KHUMAENAH</t>
  </si>
  <si>
    <t>6207045911820001</t>
  </si>
  <si>
    <t>KIMAN</t>
  </si>
  <si>
    <t>6207041908740002</t>
  </si>
  <si>
    <t>6207083112770002</t>
  </si>
  <si>
    <t>6207044504790002</t>
  </si>
  <si>
    <t>SLAMET MARDIANTO</t>
  </si>
  <si>
    <t>6207080509890001</t>
  </si>
  <si>
    <t>6207084406760002</t>
  </si>
  <si>
    <t>6207081011770001</t>
  </si>
  <si>
    <t>DANIEL VALENTINO ANDRINO ENTO EBOT</t>
  </si>
  <si>
    <t>USWATUN KASANAH</t>
  </si>
  <si>
    <t>3306012306820002</t>
  </si>
  <si>
    <t>BAKAR</t>
  </si>
  <si>
    <t>6202091011910001</t>
  </si>
  <si>
    <t>IRWANTO</t>
  </si>
  <si>
    <t>3307072602900003</t>
  </si>
  <si>
    <t>ELA SUSIANI</t>
  </si>
  <si>
    <t>LOMO HASIHOLAN HUTAHURUK</t>
  </si>
  <si>
    <t>1404062003890004</t>
  </si>
  <si>
    <t>3306016005860003</t>
  </si>
  <si>
    <t>5310125711790002</t>
  </si>
  <si>
    <t>3307075109980004</t>
  </si>
  <si>
    <t>NASWANDI</t>
  </si>
  <si>
    <t>3323172101890003</t>
  </si>
  <si>
    <t>NUNING HARTATI</t>
  </si>
  <si>
    <t>3323176311880004</t>
  </si>
  <si>
    <t>6202145707010001</t>
  </si>
  <si>
    <t>6207024205030006</t>
  </si>
  <si>
    <t>RUDIANTO</t>
  </si>
  <si>
    <t>JAYANTI NANDA SARI</t>
  </si>
  <si>
    <t>ARTIADI</t>
  </si>
  <si>
    <t>HERLAILI</t>
  </si>
  <si>
    <t>SARIMIN</t>
  </si>
  <si>
    <t>DONY SAMBUDI ABDULLAH</t>
  </si>
  <si>
    <t>UJANG IKBAL</t>
  </si>
  <si>
    <t>SARIPUDIN</t>
  </si>
  <si>
    <t>SISA PINJAMAN</t>
  </si>
  <si>
    <t>ANGSURAN KE</t>
  </si>
  <si>
    <t>BUNGA</t>
  </si>
  <si>
    <t>PINJAMAN + BUNGA</t>
  </si>
  <si>
    <t>BUNGA BELUM TERBAYAR</t>
  </si>
  <si>
    <t>PINJAMAN POKOK PEMBULATAN</t>
  </si>
  <si>
    <t>KOLOM BANTU</t>
  </si>
  <si>
    <t>MUHAMAD SAIFUL</t>
  </si>
  <si>
    <t>NO KTP</t>
  </si>
  <si>
    <t>Total Simpanan  pokok s/d 2026</t>
  </si>
  <si>
    <t>SISA HUTANG</t>
  </si>
  <si>
    <t>NIK KTP</t>
  </si>
  <si>
    <t>6207042508890001</t>
  </si>
  <si>
    <t>6207084303990001</t>
  </si>
  <si>
    <t>6201055305920002</t>
  </si>
  <si>
    <t>5202070107900351</t>
  </si>
  <si>
    <t>LALANG BUDI WAHYONO</t>
  </si>
  <si>
    <t>3313080310020003</t>
  </si>
  <si>
    <t>5203014107910306</t>
  </si>
  <si>
    <t>3304041411030002</t>
  </si>
  <si>
    <t>SOLEHUDIN</t>
  </si>
  <si>
    <t>3307150506940002</t>
  </si>
  <si>
    <t>YULITA BALU</t>
  </si>
  <si>
    <t>6207084105770001</t>
  </si>
  <si>
    <t>M. HILMI</t>
  </si>
  <si>
    <t>5201140607040004</t>
  </si>
  <si>
    <t>TOHRI</t>
  </si>
  <si>
    <t>5201023112730189</t>
  </si>
  <si>
    <t>NANI WIJAYANTI</t>
  </si>
  <si>
    <t>3301200704830001</t>
  </si>
  <si>
    <t>3301094508960002</t>
  </si>
  <si>
    <t>3304114502940001</t>
  </si>
  <si>
    <t>3303134909030002</t>
  </si>
  <si>
    <t>FADILA</t>
  </si>
  <si>
    <t>6207071711990001</t>
  </si>
  <si>
    <t>6472082408070003</t>
  </si>
  <si>
    <t>WITRIANI</t>
  </si>
  <si>
    <t>6201060503890003</t>
  </si>
  <si>
    <t>DIA AYU ROHMAYANI</t>
  </si>
  <si>
    <t>6207045310060002</t>
  </si>
  <si>
    <t>FADIL</t>
  </si>
  <si>
    <t>5203203112850019</t>
  </si>
  <si>
    <t>M. IBNU HUJJAH AL QUSYAIRI</t>
  </si>
  <si>
    <t>6207080408050002</t>
  </si>
  <si>
    <t>CANDRA</t>
  </si>
  <si>
    <t>5202030201920002</t>
  </si>
  <si>
    <t>SITI BARYANTI</t>
  </si>
  <si>
    <t>3303130603950006</t>
  </si>
  <si>
    <t>6304177012870001</t>
  </si>
  <si>
    <t>FIRDA ROHDATUL ROFIDA</t>
  </si>
  <si>
    <t>6207086509980001</t>
  </si>
  <si>
    <t>ENI SAENI</t>
  </si>
  <si>
    <t>6201060301840004</t>
  </si>
  <si>
    <t>TUKIMIN</t>
  </si>
  <si>
    <t>MANISAH</t>
  </si>
  <si>
    <t>3301192507800002</t>
  </si>
  <si>
    <t>IRANTO</t>
  </si>
  <si>
    <t>3401080101840002</t>
  </si>
  <si>
    <t>KUMPUL</t>
  </si>
  <si>
    <t>3304071502840001</t>
  </si>
  <si>
    <t>RATEMUN</t>
  </si>
  <si>
    <t>3502182110790003</t>
  </si>
  <si>
    <t>6201064910890003</t>
  </si>
  <si>
    <t>6207044101750004</t>
  </si>
  <si>
    <t>3205364101990007</t>
  </si>
  <si>
    <t>6207046104870001</t>
  </si>
  <si>
    <t>6202112705830001</t>
  </si>
  <si>
    <t>RIKI WAHYU KURNIAWAN</t>
  </si>
  <si>
    <t>3306110511000004</t>
  </si>
  <si>
    <t>ARIQ NUR PRAMUDITYO</t>
  </si>
  <si>
    <t>6207041703050002</t>
  </si>
  <si>
    <t>PONIMIN</t>
  </si>
  <si>
    <t>TELASIH</t>
  </si>
  <si>
    <t>3307140905920001</t>
  </si>
  <si>
    <t>NASRULLAH</t>
  </si>
  <si>
    <t>6207011409960002</t>
  </si>
  <si>
    <t>3307104205970004</t>
  </si>
  <si>
    <t>3304060201000002</t>
  </si>
  <si>
    <t>CICILAN PER BULAN</t>
  </si>
  <si>
    <t>TENOR PINJAMAN</t>
  </si>
  <si>
    <t>SIMPANAN POKOK</t>
  </si>
  <si>
    <t>HUTANG</t>
  </si>
  <si>
    <t>SISA ANGSURAN KE</t>
  </si>
  <si>
    <t>BULAN</t>
  </si>
  <si>
    <t>MASUKAN NIK KTP</t>
  </si>
  <si>
    <t>3306010904860004</t>
  </si>
  <si>
    <t>ROSIDIN</t>
  </si>
  <si>
    <t>1218020908870002</t>
  </si>
  <si>
    <t>HERMANSYAH</t>
  </si>
  <si>
    <t>3306015403900002</t>
  </si>
  <si>
    <t>MISEM</t>
  </si>
  <si>
    <t>6207084809890001</t>
  </si>
  <si>
    <t>1218024507950004</t>
  </si>
  <si>
    <t>NURHABYBAH SIREGAR</t>
  </si>
  <si>
    <t>5206120107851268</t>
  </si>
  <si>
    <t>SUHARDIN</t>
  </si>
  <si>
    <t>3206110107840152</t>
  </si>
  <si>
    <t>KARYA</t>
  </si>
  <si>
    <t>5206064107871509</t>
  </si>
  <si>
    <t>SUHARTI</t>
  </si>
  <si>
    <t>1571032010900081</t>
  </si>
  <si>
    <t>ANTONI</t>
  </si>
  <si>
    <t>3304062608850001</t>
  </si>
  <si>
    <t>AGUS RIYADI</t>
  </si>
  <si>
    <t>3305070103820001</t>
  </si>
  <si>
    <t>SARJO</t>
  </si>
  <si>
    <t>6208010404980001</t>
  </si>
  <si>
    <t>MUHAMMAD UMAR</t>
  </si>
  <si>
    <t>3206271601920004</t>
  </si>
  <si>
    <t>ACEP SARIPUDIN</t>
  </si>
  <si>
    <t>3206275205850007</t>
  </si>
  <si>
    <t>ROSDIANA</t>
  </si>
  <si>
    <t>1571085410910041</t>
  </si>
  <si>
    <t>ANGGUN NOVEM PUTRI</t>
  </si>
  <si>
    <t>3311090904840005</t>
  </si>
  <si>
    <t>ARIES FULLASA</t>
  </si>
  <si>
    <t>3306141103910002</t>
  </si>
  <si>
    <t>6202145504990003</t>
  </si>
  <si>
    <t>EKA NUR'AINI</t>
  </si>
  <si>
    <t>3305075011850001</t>
  </si>
  <si>
    <t>SUPARYANTI</t>
  </si>
  <si>
    <t>6207040309060001</t>
  </si>
  <si>
    <t>EDWARD ANAS NUGROHO</t>
  </si>
  <si>
    <t>5208035909020002</t>
  </si>
  <si>
    <t>SITI MAEMANAH</t>
  </si>
  <si>
    <t xml:space="preserve"> MUNTAMAH</t>
  </si>
  <si>
    <t xml:space="preserve"> RUSMONO</t>
  </si>
  <si>
    <t xml:space="preserve"> YATINO</t>
  </si>
  <si>
    <t xml:space="preserve"> RIYONO</t>
  </si>
  <si>
    <t xml:space="preserve"> M. KHAMDUN ROCHMAT</t>
  </si>
  <si>
    <t xml:space="preserve"> RIDHO</t>
  </si>
  <si>
    <t xml:space="preserve"> AGUS MUNIF SARIFIN</t>
  </si>
  <si>
    <t xml:space="preserve"> MUJIYANTO</t>
  </si>
  <si>
    <t xml:space="preserve"> KASIRAN</t>
  </si>
  <si>
    <t xml:space="preserve"> DARPI SUGIAT</t>
  </si>
  <si>
    <t xml:space="preserve"> ANTINIUS NANGA</t>
  </si>
  <si>
    <t xml:space="preserve"> GORIS</t>
  </si>
  <si>
    <t xml:space="preserve"> MAKMUNUDIN</t>
  </si>
  <si>
    <t xml:space="preserve"> AGUNG CAHYONO</t>
  </si>
  <si>
    <t xml:space="preserve"> AGUS HAIRIANUR</t>
  </si>
  <si>
    <t xml:space="preserve"> SUPOYO</t>
  </si>
  <si>
    <t xml:space="preserve"> WAGINO ADI PORNOMO</t>
  </si>
  <si>
    <t xml:space="preserve"> SAPARI</t>
  </si>
  <si>
    <t xml:space="preserve"> ALIP</t>
  </si>
  <si>
    <t xml:space="preserve"> EKA ARDIAN SETIANTO</t>
  </si>
  <si>
    <t xml:space="preserve"> WARWANTO</t>
  </si>
  <si>
    <t xml:space="preserve"> SUSANTO</t>
  </si>
  <si>
    <t xml:space="preserve"> SYARIFUDIN</t>
  </si>
  <si>
    <t xml:space="preserve"> SUSIYANTO</t>
  </si>
  <si>
    <t xml:space="preserve"> SUWITO</t>
  </si>
  <si>
    <t xml:space="preserve"> WAHYUDI SLAMET</t>
  </si>
  <si>
    <t xml:space="preserve"> MUHAMAD MINWIN</t>
  </si>
  <si>
    <t xml:space="preserve"> DIDIK MEY PRASETYO</t>
  </si>
  <si>
    <t xml:space="preserve"> NAFSIYAH</t>
  </si>
  <si>
    <t xml:space="preserve"> FAISOL WAHYU ARIANTO</t>
  </si>
  <si>
    <t xml:space="preserve"> DIDIK HARIYANTO</t>
  </si>
  <si>
    <t xml:space="preserve"> NURWIE</t>
  </si>
  <si>
    <t xml:space="preserve"> SLAMET</t>
  </si>
  <si>
    <t xml:space="preserve"> ABDUL ROHCKIM</t>
  </si>
  <si>
    <t xml:space="preserve"> SIPRIANUS OLE AWA</t>
  </si>
  <si>
    <t xml:space="preserve"> SAIMAN</t>
  </si>
  <si>
    <t xml:space="preserve"> RIYANTO</t>
  </si>
  <si>
    <t xml:space="preserve"> NURYANI</t>
  </si>
  <si>
    <t xml:space="preserve"> NUR TAUFIK</t>
  </si>
  <si>
    <t xml:space="preserve"> LINDA KRISTINAWATI</t>
  </si>
  <si>
    <t xml:space="preserve"> MAT SARIMAN</t>
  </si>
  <si>
    <t xml:space="preserve"> RUSDIYANTO</t>
  </si>
  <si>
    <t xml:space="preserve"> JUWARNO</t>
  </si>
  <si>
    <t xml:space="preserve"> SITI KOMARIYANI</t>
  </si>
  <si>
    <t xml:space="preserve"> MUNSORIF</t>
  </si>
  <si>
    <t xml:space="preserve"> KHUSNUL WAFA</t>
  </si>
  <si>
    <t xml:space="preserve"> ERIYOTO</t>
  </si>
  <si>
    <t xml:space="preserve"> KIPDULLAH HADI ASKAR</t>
  </si>
  <si>
    <t xml:space="preserve"> PAWIDIYANTORO</t>
  </si>
  <si>
    <t xml:space="preserve"> SLAMET RIYONO</t>
  </si>
  <si>
    <t xml:space="preserve"> TOHABUN</t>
  </si>
  <si>
    <t xml:space="preserve"> KAMINO</t>
  </si>
  <si>
    <t xml:space="preserve"> AKHMAD KHAMID</t>
  </si>
  <si>
    <t xml:space="preserve"> SUHARSO</t>
  </si>
  <si>
    <t xml:space="preserve"> EDUL RACHMAN HUTAGALUNG</t>
  </si>
  <si>
    <t xml:space="preserve"> SOBIRIN</t>
  </si>
  <si>
    <t xml:space="preserve"> AMAT WIDOYO</t>
  </si>
  <si>
    <t xml:space="preserve"> JASMIN</t>
  </si>
  <si>
    <t xml:space="preserve"> AKEN P. TAMPUBOLON</t>
  </si>
  <si>
    <t xml:space="preserve"> ASIYAH</t>
  </si>
  <si>
    <t xml:space="preserve"> PRIYANTO</t>
  </si>
  <si>
    <t xml:space="preserve"> KISWANTO</t>
  </si>
  <si>
    <t xml:space="preserve"> WIBONO</t>
  </si>
  <si>
    <t xml:space="preserve"> JEMARI</t>
  </si>
  <si>
    <t xml:space="preserve"> SALIM HIDAYAT</t>
  </si>
  <si>
    <t xml:space="preserve"> KINO</t>
  </si>
  <si>
    <t xml:space="preserve"> PARIMAN</t>
  </si>
  <si>
    <t xml:space="preserve"> IKA FATONI</t>
  </si>
  <si>
    <t xml:space="preserve"> SAYDI</t>
  </si>
  <si>
    <t xml:space="preserve"> PAINO</t>
  </si>
  <si>
    <t xml:space="preserve"> MUNAWIR SAJALI</t>
  </si>
  <si>
    <t xml:space="preserve"> AMRI</t>
  </si>
  <si>
    <t xml:space="preserve"> M.SUHARI</t>
  </si>
  <si>
    <t xml:space="preserve"> GIYONO</t>
  </si>
  <si>
    <t xml:space="preserve"> SITI HAJAR</t>
  </si>
  <si>
    <t xml:space="preserve"> TUMINO</t>
  </si>
  <si>
    <t xml:space="preserve"> WASTITATUN</t>
  </si>
  <si>
    <t xml:space="preserve"> ROBIKUN</t>
  </si>
  <si>
    <t xml:space="preserve"> NANANG IRWAN</t>
  </si>
  <si>
    <t xml:space="preserve"> JUHAIRI RAHMAN</t>
  </si>
  <si>
    <t xml:space="preserve"> SUWARSIH</t>
  </si>
  <si>
    <t xml:space="preserve"> ANDRI GUNAWAN</t>
  </si>
  <si>
    <t xml:space="preserve"> SIMIN</t>
  </si>
  <si>
    <t xml:space="preserve"> MARYATUN</t>
  </si>
  <si>
    <t xml:space="preserve"> AMAD SUKIMAN</t>
  </si>
  <si>
    <t xml:space="preserve"> KHASIDIN</t>
  </si>
  <si>
    <t xml:space="preserve"> DEDDY MURYANTO</t>
  </si>
  <si>
    <t xml:space="preserve"> SETIA SIAHAAN</t>
  </si>
  <si>
    <t xml:space="preserve"> BAGAS IRWANTO</t>
  </si>
  <si>
    <t xml:space="preserve"> SOLIKHIN</t>
  </si>
  <si>
    <t xml:space="preserve"> DEWI NOVITASARI</t>
  </si>
  <si>
    <t xml:space="preserve"> ISTIKOMAH</t>
  </si>
  <si>
    <t xml:space="preserve"> TUMIRAH</t>
  </si>
  <si>
    <t xml:space="preserve"> NUR AYADI</t>
  </si>
  <si>
    <t xml:space="preserve"> RUJIANUR</t>
  </si>
  <si>
    <t xml:space="preserve"> GANDA</t>
  </si>
  <si>
    <t xml:space="preserve"> YOGI ANDALAN SINAGA</t>
  </si>
  <si>
    <t xml:space="preserve"> WAHID DIKY SAPUTRA</t>
  </si>
  <si>
    <t xml:space="preserve"> UMI LATIFAH</t>
  </si>
  <si>
    <t xml:space="preserve"> ARDIANUS SANGGU</t>
  </si>
  <si>
    <t xml:space="preserve"> WOTO</t>
  </si>
  <si>
    <t xml:space="preserve"> JAYANTI NANDA SARI</t>
  </si>
  <si>
    <t xml:space="preserve"> ARTIADI</t>
  </si>
  <si>
    <t xml:space="preserve"> MUSSHOLEH</t>
  </si>
  <si>
    <t xml:space="preserve"> PARYONO KUKUH</t>
  </si>
  <si>
    <t xml:space="preserve"> MUHYAMIL</t>
  </si>
  <si>
    <t xml:space="preserve"> MISNEM</t>
  </si>
  <si>
    <t xml:space="preserve"> MULI WULANDARI</t>
  </si>
  <si>
    <t xml:space="preserve"> SRI ENDANG WATI</t>
  </si>
  <si>
    <t xml:space="preserve"> MARDIN SIREGAR</t>
  </si>
  <si>
    <t xml:space="preserve"> SHOLIHUN</t>
  </si>
  <si>
    <t xml:space="preserve"> TA'AT SENO AJI</t>
  </si>
  <si>
    <t xml:space="preserve"> HADI PURWANTO</t>
  </si>
  <si>
    <t xml:space="preserve"> FAJAR JOKO SAPUTRO</t>
  </si>
  <si>
    <t xml:space="preserve"> PARDI</t>
  </si>
  <si>
    <t xml:space="preserve"> TOHIDIN</t>
  </si>
  <si>
    <t xml:space="preserve"> SUBANDRI</t>
  </si>
  <si>
    <t xml:space="preserve"> KOLBERD TAMBUNAN</t>
  </si>
  <si>
    <t xml:space="preserve"> WASIATI</t>
  </si>
  <si>
    <t xml:space="preserve"> SISKA RUGUN ADINATA</t>
  </si>
  <si>
    <t xml:space="preserve"> MIFTAHUL KHOIR</t>
  </si>
  <si>
    <t xml:space="preserve"> SUPIANOR</t>
  </si>
  <si>
    <t xml:space="preserve"> MARTI</t>
  </si>
  <si>
    <t xml:space="preserve"> SOLIKAH</t>
  </si>
  <si>
    <t xml:space="preserve"> HERLINA</t>
  </si>
  <si>
    <t xml:space="preserve"> BUDI</t>
  </si>
  <si>
    <t xml:space="preserve"> HASBI HAMZAH LEWOTAN</t>
  </si>
  <si>
    <t xml:space="preserve"> TAUFIK</t>
  </si>
  <si>
    <t xml:space="preserve"> DEKA WULANDARI</t>
  </si>
  <si>
    <t xml:space="preserve"> HERNI WATI</t>
  </si>
  <si>
    <t xml:space="preserve"> SITI NURYANI</t>
  </si>
  <si>
    <t xml:space="preserve"> SUNARILAH</t>
  </si>
  <si>
    <t xml:space="preserve"> MUHAMAD ALI SADIKIN</t>
  </si>
  <si>
    <t xml:space="preserve"> MISRUN</t>
  </si>
  <si>
    <t xml:space="preserve"> MURTININGSIH</t>
  </si>
  <si>
    <t xml:space="preserve"> SUPIYANA</t>
  </si>
  <si>
    <t xml:space="preserve"> PARDANINGSIH</t>
  </si>
  <si>
    <t xml:space="preserve"> MAKMUR</t>
  </si>
  <si>
    <t xml:space="preserve"> SURATMAN</t>
  </si>
  <si>
    <t xml:space="preserve"> JUSRI</t>
  </si>
  <si>
    <t xml:space="preserve"> WAHYU PAMUNGKAS</t>
  </si>
  <si>
    <t xml:space="preserve"> NYAMI</t>
  </si>
  <si>
    <t xml:space="preserve"> MARINAH</t>
  </si>
  <si>
    <t xml:space="preserve"> WAGIRAN</t>
  </si>
  <si>
    <t xml:space="preserve"> SUDIARTO</t>
  </si>
  <si>
    <t xml:space="preserve"> SUNLASTUTI</t>
  </si>
  <si>
    <t xml:space="preserve"> SERVOLUS BARU</t>
  </si>
  <si>
    <t xml:space="preserve"> MARIA YULIANA DAWI</t>
  </si>
  <si>
    <t xml:space="preserve"> NUR HIKMAH WATI</t>
  </si>
  <si>
    <t xml:space="preserve"> ALDI RAHMATULLAH</t>
  </si>
  <si>
    <t xml:space="preserve"> GHOFURU ROKHIM</t>
  </si>
  <si>
    <t xml:space="preserve"> MARIA ERLINA RIMBA</t>
  </si>
  <si>
    <t xml:space="preserve"> DWI SUGIYANTO</t>
  </si>
  <si>
    <t xml:space="preserve"> WAGIYO</t>
  </si>
  <si>
    <t xml:space="preserve"> BUDIANTO</t>
  </si>
  <si>
    <t xml:space="preserve"> ZURIATUN</t>
  </si>
  <si>
    <t xml:space="preserve"> WARIS</t>
  </si>
  <si>
    <t xml:space="preserve"> SARIMAN</t>
  </si>
  <si>
    <t xml:space="preserve"> WIDIYANTORO</t>
  </si>
  <si>
    <t xml:space="preserve"> KANAN</t>
  </si>
  <si>
    <t xml:space="preserve"> MAD THOLIB</t>
  </si>
  <si>
    <t xml:space="preserve"> SUGIANTO</t>
  </si>
  <si>
    <t xml:space="preserve"> NIKALIA TRI ASTUTI</t>
  </si>
  <si>
    <t xml:space="preserve"> MUHAMAD AMIRUDIN</t>
  </si>
  <si>
    <t xml:space="preserve"> RANI</t>
  </si>
  <si>
    <t xml:space="preserve"> ISIH</t>
  </si>
  <si>
    <t xml:space="preserve"> WIWIT SANTOSO</t>
  </si>
  <si>
    <t xml:space="preserve"> REBUT SUDARDIO</t>
  </si>
  <si>
    <t xml:space="preserve"> NUR JAMALUDIN</t>
  </si>
  <si>
    <t xml:space="preserve"> LUSINO</t>
  </si>
  <si>
    <t xml:space="preserve"> SIBUN</t>
  </si>
  <si>
    <t xml:space="preserve"> RUSMAYANI</t>
  </si>
  <si>
    <t xml:space="preserve"> ARMAN</t>
  </si>
  <si>
    <t xml:space="preserve"> MISWANTO</t>
  </si>
  <si>
    <t xml:space="preserve"> SURATMI</t>
  </si>
  <si>
    <t xml:space="preserve"> ZAINAL ARIFIN</t>
  </si>
  <si>
    <t xml:space="preserve"> SABAR</t>
  </si>
  <si>
    <t xml:space="preserve"> KARSONO</t>
  </si>
  <si>
    <t xml:space="preserve"> MAHFUT</t>
  </si>
  <si>
    <t xml:space="preserve"> REBIN</t>
  </si>
  <si>
    <t xml:space="preserve"> ROCHMAN</t>
  </si>
  <si>
    <t xml:space="preserve"> MARTA SUPRAJA</t>
  </si>
  <si>
    <t xml:space="preserve"> BATRI SIMPEL</t>
  </si>
  <si>
    <t xml:space="preserve"> ARIYANTO</t>
  </si>
  <si>
    <t xml:space="preserve"> WIDODO</t>
  </si>
  <si>
    <t xml:space="preserve"> EKO WATI</t>
  </si>
  <si>
    <t xml:space="preserve"> FAHRUDIN</t>
  </si>
  <si>
    <t xml:space="preserve"> JAYADI</t>
  </si>
  <si>
    <t xml:space="preserve"> AGUSTINUS NANGA</t>
  </si>
  <si>
    <t xml:space="preserve"> WAHIDATI HUSWATUN HASANAH</t>
  </si>
  <si>
    <t xml:space="preserve"> SITI MASRUROH</t>
  </si>
  <si>
    <t xml:space="preserve"> YURI DESTIANI</t>
  </si>
  <si>
    <t xml:space="preserve"> TENANG</t>
  </si>
  <si>
    <t xml:space="preserve"> SUKIMAN</t>
  </si>
  <si>
    <t xml:space="preserve"> SUTAJI SAPUTRA</t>
  </si>
  <si>
    <t xml:space="preserve"> SURANTI</t>
  </si>
  <si>
    <t xml:space="preserve"> ALPIAH</t>
  </si>
  <si>
    <t xml:space="preserve"> SARIPUDIN</t>
  </si>
  <si>
    <t xml:space="preserve"> MAIROH</t>
  </si>
  <si>
    <t xml:space="preserve"> WAFIROTUR RIF'ATI</t>
  </si>
  <si>
    <t xml:space="preserve"> SOFI LIANTI</t>
  </si>
  <si>
    <t xml:space="preserve"> IRWAN ASRORI</t>
  </si>
  <si>
    <t xml:space="preserve"> AGUS SETIAWAN</t>
  </si>
  <si>
    <t xml:space="preserve"> MUSTOFA</t>
  </si>
  <si>
    <t xml:space="preserve"> PURYANTO</t>
  </si>
  <si>
    <t xml:space="preserve"> KHAIRUL NOVEL</t>
  </si>
  <si>
    <t xml:space="preserve"> SALIM</t>
  </si>
  <si>
    <t xml:space="preserve"> UJANG IKBAL</t>
  </si>
  <si>
    <t xml:space="preserve"> SUGENG ASROR</t>
  </si>
  <si>
    <t xml:space="preserve"> KURNIAWAN PUKAT</t>
  </si>
  <si>
    <t xml:space="preserve"> MISRI</t>
  </si>
  <si>
    <t xml:space="preserve"> NENENG ROKAYA</t>
  </si>
  <si>
    <t xml:space="preserve"> AISAH</t>
  </si>
  <si>
    <t xml:space="preserve"> AHMAD SARIFUL ANAM</t>
  </si>
  <si>
    <t xml:space="preserve"> ADE APRILIAN PUTRA</t>
  </si>
  <si>
    <t xml:space="preserve"> RESKY SAHRUL RAMADAN</t>
  </si>
  <si>
    <t xml:space="preserve"> LIUNGGUH</t>
  </si>
  <si>
    <t xml:space="preserve"> WAGISO</t>
  </si>
  <si>
    <t xml:space="preserve"> LAURENSIUS LESU</t>
  </si>
  <si>
    <t xml:space="preserve"> MUHAMAD SAEFUL</t>
  </si>
  <si>
    <t xml:space="preserve"> SUGENG ERMANSAH</t>
  </si>
  <si>
    <t xml:space="preserve"> MISTUN</t>
  </si>
  <si>
    <t xml:space="preserve"> ERVINA LESTARI</t>
  </si>
  <si>
    <t xml:space="preserve"> SARA NURASIH</t>
  </si>
  <si>
    <t xml:space="preserve"> RIZKI MAULANA</t>
  </si>
  <si>
    <t xml:space="preserve"> FIRDA ROHDATUL ROFIDA</t>
  </si>
  <si>
    <t xml:space="preserve"> SARNI</t>
  </si>
  <si>
    <t xml:space="preserve"> CHOTIMAH</t>
  </si>
  <si>
    <t xml:space="preserve"> SUBANDI</t>
  </si>
  <si>
    <t xml:space="preserve"> MUJI ROHANI</t>
  </si>
  <si>
    <t xml:space="preserve"> OKTAVIANUS ASMAN</t>
  </si>
  <si>
    <t xml:space="preserve"> ISAH</t>
  </si>
  <si>
    <t xml:space="preserve"> AHMAD FAUZI</t>
  </si>
  <si>
    <t xml:space="preserve"> ERIK CHARLES HALOMOAN SITOMPUL</t>
  </si>
  <si>
    <t xml:space="preserve"> IRWAN</t>
  </si>
  <si>
    <t xml:space="preserve"> NURSALIM</t>
  </si>
  <si>
    <t xml:space="preserve"> FANDIANUS YOGAN KAKI</t>
  </si>
  <si>
    <t xml:space="preserve"> AHMAD FAIZIN FATAH YASIN</t>
  </si>
  <si>
    <t xml:space="preserve"> NUR HAYATI</t>
  </si>
  <si>
    <t xml:space="preserve"> DIMAS AJI NUGROHO</t>
  </si>
  <si>
    <t xml:space="preserve"> RONALDUS NGGUNG</t>
  </si>
  <si>
    <t xml:space="preserve"> SUYATIN</t>
  </si>
  <si>
    <t xml:space="preserve"> RUDIANTO</t>
  </si>
  <si>
    <t xml:space="preserve"> LUCKY PRIMAWAN DAMANIK</t>
  </si>
  <si>
    <t xml:space="preserve"> ANJAS TAUFIK KUR ROHMAN</t>
  </si>
  <si>
    <t xml:space="preserve"> MURSINO</t>
  </si>
  <si>
    <t xml:space="preserve"> MOH SUUDI</t>
  </si>
  <si>
    <t xml:space="preserve"> SURYA DEWI SIMBOLON</t>
  </si>
  <si>
    <t xml:space="preserve"> SUPRIYONO</t>
  </si>
  <si>
    <t xml:space="preserve"> ANIRI</t>
  </si>
  <si>
    <t xml:space="preserve"> TENTREM TRIMO</t>
  </si>
  <si>
    <t xml:space="preserve"> TRI NURAINI</t>
  </si>
  <si>
    <t xml:space="preserve"> SRI MULYATI</t>
  </si>
  <si>
    <t xml:space="preserve"> ABDUL RAIS</t>
  </si>
  <si>
    <t xml:space="preserve"> LOMO HASIHOLAN HUTAHURUK</t>
  </si>
  <si>
    <t xml:space="preserve"> YUANI</t>
  </si>
  <si>
    <t xml:space="preserve"> CAHYONO</t>
  </si>
  <si>
    <t xml:space="preserve"> DONY SAMBUDI ABDULLAH</t>
  </si>
  <si>
    <t>=vlookup(B5;'sheet 2'!$A$2:$C$390;3;0)</t>
  </si>
  <si>
    <t>5203050107871207</t>
  </si>
  <si>
    <t>6207083005030001</t>
  </si>
  <si>
    <t>5316030112980001</t>
  </si>
  <si>
    <t>6207085006750002</t>
  </si>
  <si>
    <t>5371011204880006</t>
  </si>
  <si>
    <t>6202112608950001</t>
  </si>
  <si>
    <t>3307040705860003</t>
  </si>
  <si>
    <t>6202085505000002</t>
  </si>
  <si>
    <t>RIDWAN</t>
  </si>
  <si>
    <t>MUHAMMAD ILHAM MUNAWAR</t>
  </si>
  <si>
    <t>DIONISIUS LENGI UA</t>
  </si>
  <si>
    <t>ARBAINAH</t>
  </si>
  <si>
    <t>PETRUS BULING KELUL</t>
  </si>
  <si>
    <t>MUHAMMAD SAIRI</t>
  </si>
  <si>
    <t>ZAENAL ABIDIN</t>
  </si>
  <si>
    <t>ERMAWATI</t>
  </si>
  <si>
    <t xml:space="preserve"> DELLA SISNAWATI</t>
  </si>
  <si>
    <t xml:space="preserve"> ROWIYAH</t>
  </si>
  <si>
    <t xml:space="preserve"> KARYA</t>
  </si>
  <si>
    <t xml:space="preserve"> ENI SAENI</t>
  </si>
  <si>
    <t xml:space="preserve"> MUHAMMAD YUSUP</t>
  </si>
  <si>
    <t xml:space="preserve"> ACEP SARIPUDIN</t>
  </si>
  <si>
    <t xml:space="preserve"> KAMINI</t>
  </si>
  <si>
    <t xml:space="preserve"> ALIF AL HANAFI AKBAR</t>
  </si>
  <si>
    <t xml:space="preserve"> MASKUR</t>
  </si>
  <si>
    <t xml:space="preserve"> ROESTAM</t>
  </si>
  <si>
    <t xml:space="preserve"> SUHARDIN</t>
  </si>
  <si>
    <t xml:space="preserve"> MARTIANINGSIH</t>
  </si>
  <si>
    <t xml:space="preserve"> SUMARSONO</t>
  </si>
  <si>
    <t xml:space="preserve"> INDARWATI</t>
  </si>
  <si>
    <t xml:space="preserve"> EKA FAUZIAH BR SEMBIRING</t>
  </si>
  <si>
    <t xml:space="preserve"> AGUS WIDODO</t>
  </si>
  <si>
    <t xml:space="preserve"> IAN PURNIAWAN</t>
  </si>
  <si>
    <t xml:space="preserve"> EDWARD ANAS NUGROHO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</si>
</sst>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164" formatCode="_-* #,##0_-;\-* #,##0_-;_-* &quot;-&quot;_-;_-@_-"/>
    <numFmt numFmtId="165" formatCode="_-[$Rp-421]* #,##0_-;\-[$Rp-421]* #,##0_-;_-[$Rp-421]* &quot;-&quot;??_-;_-@_-"/>
  </numFmts>
  <fonts count="25" x14ac:knownFonts="1"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9"/>
      <name val="Times New Roman"/>
      <charset val="1"/>
    </font>
    <font>
      <b/>
      <sz val="9"/>
      <color indexed="63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5" applyNumberFormat="0" applyAlignment="0" applyProtection="0"/>
    <xf numFmtId="0" fontId="9" fillId="28" borderId="6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5" applyNumberFormat="0" applyAlignment="0" applyProtection="0"/>
    <xf numFmtId="0" fontId="16" fillId="0" borderId="10" applyNumberFormat="0" applyFill="0" applyAlignment="0" applyProtection="0"/>
    <xf numFmtId="0" fontId="17" fillId="31" borderId="0" applyNumberFormat="0" applyBorder="0" applyAlignment="0" applyProtection="0"/>
    <xf numFmtId="0" fontId="5" fillId="0" borderId="0"/>
    <xf numFmtId="0" fontId="5" fillId="32" borderId="11" applyNumberFormat="0" applyFont="0" applyAlignment="0" applyProtection="0"/>
    <xf numFmtId="0" fontId="18" fillId="27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0" borderId="0" applyNumberFormat="0" applyFill="0" applyBorder="0" applyAlignment="0" applyProtection="0"/>
  </cellStyleXfs>
  <cellXfs count="26">
    <xf numFmtId="0" fontId="0" fillId="0" borderId="0" xfId="0"/>
    <xf numFmtId="1" fontId="0" fillId="0" borderId="0" xfId="0" applyNumberFormat="1"/>
    <xf numFmtId="49" fontId="22" fillId="0" borderId="14" xfId="0" applyNumberFormat="1" applyFont="1" applyBorder="1" applyAlignment="1">
      <alignment horizontal="left" vertical="center" wrapText="1" shrinkToFit="1"/>
    </xf>
    <xf numFmtId="0" fontId="22" fillId="0" borderId="14" xfId="0" applyFont="1" applyBorder="1" applyAlignment="1">
      <alignment horizontal="left" vertical="center" wrapText="1" shrinkToFit="1"/>
    </xf>
    <xf numFmtId="42" fontId="4" fillId="0" borderId="0" xfId="30" applyFont="1"/>
    <xf numFmtId="165" fontId="4" fillId="0" borderId="0" xfId="30" applyNumberFormat="1" applyFont="1"/>
    <xf numFmtId="0" fontId="0" fillId="0" borderId="1" xfId="0" applyBorder="1"/>
    <xf numFmtId="164" fontId="5" fillId="33" borderId="1" xfId="28" applyFont="1" applyFill="1" applyBorder="1"/>
    <xf numFmtId="0" fontId="20" fillId="34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 shrinkToFit="1"/>
    </xf>
    <xf numFmtId="0" fontId="0" fillId="35" borderId="0" xfId="0" applyFill="1"/>
    <xf numFmtId="0" fontId="0" fillId="36" borderId="0" xfId="0" applyFill="1"/>
    <xf numFmtId="49" fontId="2" fillId="36" borderId="2" xfId="0" applyNumberFormat="1" applyFont="1" applyFill="1" applyBorder="1" applyAlignment="1">
      <alignment horizontal="left" vertical="center" wrapText="1" shrinkToFit="1"/>
    </xf>
    <xf numFmtId="0" fontId="2" fillId="36" borderId="2" xfId="0" applyFont="1" applyFill="1" applyBorder="1" applyAlignment="1">
      <alignment horizontal="left" vertical="center" wrapText="1" shrinkToFit="1"/>
    </xf>
    <xf numFmtId="49" fontId="2" fillId="0" borderId="3" xfId="0" applyNumberFormat="1" applyFont="1" applyBorder="1" applyAlignment="1">
      <alignment horizontal="left" vertical="center" wrapText="1" shrinkToFit="1"/>
    </xf>
    <xf numFmtId="0" fontId="3" fillId="36" borderId="4" xfId="0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165" fontId="4" fillId="36" borderId="0" xfId="30" applyNumberFormat="1" applyFont="1" applyFill="1"/>
    <xf numFmtId="1" fontId="0" fillId="36" borderId="0" xfId="0" applyNumberFormat="1" applyFill="1"/>
    <xf numFmtId="0" fontId="22" fillId="36" borderId="14" xfId="0" applyFont="1" applyFill="1" applyBorder="1" applyAlignment="1">
      <alignment horizontal="right" vertical="center" wrapText="1" shrinkToFit="1"/>
    </xf>
    <xf numFmtId="49" fontId="0" fillId="0" borderId="0" xfId="0" applyNumberFormat="1"/>
    <xf numFmtId="0" fontId="23" fillId="37" borderId="14" xfId="0" applyFont="1" applyFill="1" applyBorder="1" applyAlignment="1">
      <alignment horizontal="center" vertical="center" wrapText="1" shrinkToFit="1"/>
    </xf>
    <xf numFmtId="0" fontId="0" fillId="37" borderId="0" xfId="0" applyFill="1"/>
    <xf numFmtId="0" fontId="24" fillId="37" borderId="0" xfId="0" applyFont="1" applyFill="1"/>
    <xf numFmtId="49" fontId="0" fillId="38" borderId="0" xfId="0" applyNumberFormat="1" applyFill="1"/>
    <xf numFmtId="49" fontId="0" fillId="0" borderId="1" xfId="0" applyNumberFormat="1" applyBorder="1"/>
  </cellXfs>
  <cellStyles count="46">
    <cellStyle name="20% - Accent1 2" xfId="1" xr:uid="{7D643C79-2CFC-4DEA-AA34-0697987DC098}"/>
    <cellStyle name="20% - Accent2 2" xfId="2" xr:uid="{15D32478-D9CC-4E4E-9B48-7154370BEA84}"/>
    <cellStyle name="20% - Accent3 2" xfId="3" xr:uid="{A83D114B-62B5-45CF-8F08-A1BE9D6DE578}"/>
    <cellStyle name="20% - Accent4 2" xfId="4" xr:uid="{D99FB3B0-878B-4F0F-B1F6-6F1D8DF5294B}"/>
    <cellStyle name="20% - Accent5 2" xfId="5" xr:uid="{BB9D8252-FA36-44F5-82B3-475D2707683E}"/>
    <cellStyle name="20% - Accent6 2" xfId="6" xr:uid="{4C995187-133C-482C-8557-914AF3B8597A}"/>
    <cellStyle name="40% - Accent1 2" xfId="7" xr:uid="{291300C7-095B-4F35-8A9E-40C905C52344}"/>
    <cellStyle name="40% - Accent2 2" xfId="8" xr:uid="{14C25984-934E-46B7-8404-29D0197A0A2B}"/>
    <cellStyle name="40% - Accent3 2" xfId="9" xr:uid="{C1724F22-638F-4E46-99FF-901E0F1C4B97}"/>
    <cellStyle name="40% - Accent4 2" xfId="10" xr:uid="{533FC9F5-DB56-40BE-82F1-C14755603A0F}"/>
    <cellStyle name="40% - Accent5 2" xfId="11" xr:uid="{20DD4D90-933C-4C67-95F2-4DC1A9460EBB}"/>
    <cellStyle name="40% - Accent6 2" xfId="12" xr:uid="{E2BA6BE3-AA2F-4287-BB81-9BD732305111}"/>
    <cellStyle name="60% - Accent1 2" xfId="13" xr:uid="{71178201-1CEA-4726-9BDA-4D04FCA3F9B6}"/>
    <cellStyle name="60% - Accent2 2" xfId="14" xr:uid="{5D892E12-17AE-447D-A16C-A162DA2EF6C5}"/>
    <cellStyle name="60% - Accent3 2" xfId="15" xr:uid="{45B6AF2D-D852-46D7-B114-C06376AB6B74}"/>
    <cellStyle name="60% - Accent4 2" xfId="16" xr:uid="{100CDD4F-6AA0-4E18-9994-D019438A6448}"/>
    <cellStyle name="60% - Accent5 2" xfId="17" xr:uid="{916ED2FF-F59C-46DB-820D-AB19B6DB8A43}"/>
    <cellStyle name="60% - Accent6 2" xfId="18" xr:uid="{3A2FC36E-5527-4DBE-A617-4B0DFC5BAA27}"/>
    <cellStyle name="Accent1 2" xfId="19" xr:uid="{AF2CF6AD-95C9-4019-BF8F-F4808BCC5D14}"/>
    <cellStyle name="Accent2 2" xfId="20" xr:uid="{402B6FE2-6AC6-44C6-B1E2-0F50032A9989}"/>
    <cellStyle name="Accent3 2" xfId="21" xr:uid="{B060DAB4-8C69-4036-960C-1A05B804587D}"/>
    <cellStyle name="Accent4 2" xfId="22" xr:uid="{E223E8E0-9034-46C5-832C-B4844DA827E6}"/>
    <cellStyle name="Accent5 2" xfId="23" xr:uid="{8D1BF669-FC32-427C-82B7-D3690F41F7B4}"/>
    <cellStyle name="Accent6 2" xfId="24" xr:uid="{29A21DCD-21A5-4ED3-9BFE-144365B3DB61}"/>
    <cellStyle name="Bad 2" xfId="25" xr:uid="{A171CD88-B223-439A-A3F3-39F88BE5A11B}"/>
    <cellStyle name="Calculation 2" xfId="26" xr:uid="{333DFC31-293D-460F-B601-7912549FEF05}"/>
    <cellStyle name="Check Cell 2" xfId="27" xr:uid="{983E23E0-0D41-4838-B4D4-17ED1F8E6721}"/>
    <cellStyle name="Comma [0] 2" xfId="28" xr:uid="{97C5C237-66E0-425F-9B74-B94E5471BF81}"/>
    <cellStyle name="Comma [0] 3" xfId="29" xr:uid="{D2EEC730-1E1C-49A1-9F1D-9F09D99B4FE2}"/>
    <cellStyle name="Currency [0]" xfId="30" builtinId="7"/>
    <cellStyle name="Explanatory Text 2" xfId="31" xr:uid="{49A3F03E-9A93-4928-BDF0-450E456B714B}"/>
    <cellStyle name="Good 2" xfId="32" xr:uid="{C3D680DD-9B20-48C6-9831-B3668010E749}"/>
    <cellStyle name="Heading 1 2" xfId="33" xr:uid="{7C253F93-6447-4D6E-8555-4AE83ABD6D0D}"/>
    <cellStyle name="Heading 2 2" xfId="34" xr:uid="{DC2CA18B-8C7B-4393-A509-8249F1D7EE84}"/>
    <cellStyle name="Heading 3 2" xfId="35" xr:uid="{8103FF60-A060-4AE9-8C3E-B088E18393AF}"/>
    <cellStyle name="Heading 4 2" xfId="36" xr:uid="{CBD78D73-FD49-4DF9-A00F-61D179AA6317}"/>
    <cellStyle name="Input 2" xfId="37" xr:uid="{C219F1C9-0A97-4752-BA51-AF8C131AFEF0}"/>
    <cellStyle name="Linked Cell 2" xfId="38" xr:uid="{D1100AE0-9BFA-45A5-84DE-5F62449D9A90}"/>
    <cellStyle name="Neutral 2" xfId="39" xr:uid="{D9EE92D8-CB65-4C11-AE98-A0BCD3DCD149}"/>
    <cellStyle name="Normal" xfId="0" builtinId="0"/>
    <cellStyle name="Normal 2" xfId="40" xr:uid="{A043E4BF-BBDF-4A9C-AB2F-D3D92AE74C55}"/>
    <cellStyle name="Note 2" xfId="41" xr:uid="{B8233B0C-ED7D-4129-B3F8-D9EA53A80BBB}"/>
    <cellStyle name="Output 2" xfId="42" xr:uid="{228721D5-9F5A-4A0A-8714-5DC57C9FA59A}"/>
    <cellStyle name="Title 2" xfId="43" xr:uid="{9DF536DA-AC63-419E-99A2-F067DFA27C64}"/>
    <cellStyle name="Total 2" xfId="44" xr:uid="{DA72D05F-613C-47AF-86B2-BD88FBD9064F}"/>
    <cellStyle name="Warning Text 2" xfId="45" xr:uid="{806237E5-E5AF-4C46-8208-94C0E27CD4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9A5-DF51-4D23-9025-8493E0B50BD2}">
  <dimension ref="A1:B691"/>
  <sheetViews>
    <sheetView workbookViewId="0">
      <selection activeCell="C10" sqref="C10"/>
    </sheetView>
  </sheetViews>
  <sheetFormatPr defaultColWidth="21" defaultRowHeight="14.5" x14ac:dyDescent="0.35"/>
  <cols>
    <col min="1" max="1" width="21" style="11" customWidth="1"/>
    <col min="2" max="2" width="36.36328125" customWidth="1"/>
  </cols>
  <sheetData>
    <row r="1" spans="1:2" x14ac:dyDescent="0.35">
      <c r="A1" s="15" t="s">
        <v>1247</v>
      </c>
      <c r="B1" s="16" t="s">
        <v>287</v>
      </c>
    </row>
    <row r="2" spans="1:2" x14ac:dyDescent="0.35">
      <c r="A2" s="12" t="s">
        <v>237</v>
      </c>
      <c r="B2" s="14" t="s">
        <v>553</v>
      </c>
    </row>
    <row r="3" spans="1:2" x14ac:dyDescent="0.35">
      <c r="A3" s="12" t="s">
        <v>264</v>
      </c>
      <c r="B3" s="9" t="s">
        <v>320</v>
      </c>
    </row>
    <row r="4" spans="1:2" x14ac:dyDescent="0.35">
      <c r="A4" s="12" t="s">
        <v>784</v>
      </c>
      <c r="B4" s="9" t="s">
        <v>1012</v>
      </c>
    </row>
    <row r="5" spans="1:2" x14ac:dyDescent="0.35">
      <c r="A5" s="12" t="s">
        <v>753</v>
      </c>
      <c r="B5" s="9" t="s">
        <v>268</v>
      </c>
    </row>
    <row r="6" spans="1:2" x14ac:dyDescent="0.35">
      <c r="A6" s="12" t="s">
        <v>594</v>
      </c>
      <c r="B6" s="9" t="s">
        <v>168</v>
      </c>
    </row>
    <row r="7" spans="1:2" x14ac:dyDescent="0.35">
      <c r="A7" s="12" t="s">
        <v>246</v>
      </c>
      <c r="B7" s="9" t="s">
        <v>428</v>
      </c>
    </row>
    <row r="8" spans="1:2" x14ac:dyDescent="0.35">
      <c r="A8" s="12" t="s">
        <v>207</v>
      </c>
      <c r="B8" s="9" t="s">
        <v>206</v>
      </c>
    </row>
    <row r="9" spans="1:2" x14ac:dyDescent="0.35">
      <c r="A9" s="12" t="s">
        <v>90</v>
      </c>
      <c r="B9" s="9" t="s">
        <v>89</v>
      </c>
    </row>
    <row r="10" spans="1:2" x14ac:dyDescent="0.35">
      <c r="A10" s="12" t="s">
        <v>200</v>
      </c>
      <c r="B10" s="9" t="s">
        <v>733</v>
      </c>
    </row>
    <row r="11" spans="1:2" x14ac:dyDescent="0.35">
      <c r="A11" s="12" t="s">
        <v>169</v>
      </c>
      <c r="B11" s="9" t="s">
        <v>199</v>
      </c>
    </row>
    <row r="12" spans="1:2" x14ac:dyDescent="0.35">
      <c r="A12" s="12" t="s">
        <v>731</v>
      </c>
      <c r="B12" s="9" t="s">
        <v>730</v>
      </c>
    </row>
    <row r="13" spans="1:2" x14ac:dyDescent="0.35">
      <c r="A13" s="12" t="s">
        <v>612</v>
      </c>
      <c r="B13" s="9" t="s">
        <v>292</v>
      </c>
    </row>
    <row r="14" spans="1:2" x14ac:dyDescent="0.35">
      <c r="A14" s="12" t="s">
        <v>403</v>
      </c>
      <c r="B14" s="9" t="s">
        <v>402</v>
      </c>
    </row>
    <row r="15" spans="1:2" x14ac:dyDescent="0.35">
      <c r="A15" s="12" t="s">
        <v>614</v>
      </c>
      <c r="B15" s="9" t="s">
        <v>572</v>
      </c>
    </row>
    <row r="16" spans="1:2" x14ac:dyDescent="0.35">
      <c r="A16" s="12" t="s">
        <v>401</v>
      </c>
      <c r="B16" s="9" t="s">
        <v>81</v>
      </c>
    </row>
    <row r="17" spans="1:2" x14ac:dyDescent="0.35">
      <c r="A17" s="12" t="s">
        <v>522</v>
      </c>
      <c r="B17" s="9" t="s">
        <v>521</v>
      </c>
    </row>
    <row r="18" spans="1:2" x14ac:dyDescent="0.35">
      <c r="A18" s="12" t="s">
        <v>786</v>
      </c>
      <c r="B18" s="9" t="s">
        <v>60</v>
      </c>
    </row>
    <row r="19" spans="1:2" x14ac:dyDescent="0.35">
      <c r="A19" s="12" t="s">
        <v>250</v>
      </c>
      <c r="B19" s="9" t="s">
        <v>64</v>
      </c>
    </row>
    <row r="20" spans="1:2" x14ac:dyDescent="0.35">
      <c r="A20" s="12" t="s">
        <v>460</v>
      </c>
      <c r="B20" s="9" t="s">
        <v>202</v>
      </c>
    </row>
    <row r="21" spans="1:2" x14ac:dyDescent="0.35">
      <c r="A21" s="12" t="s">
        <v>725</v>
      </c>
      <c r="B21" s="9" t="s">
        <v>670</v>
      </c>
    </row>
    <row r="22" spans="1:2" x14ac:dyDescent="0.35">
      <c r="A22" s="12" t="s">
        <v>291</v>
      </c>
      <c r="B22" s="9" t="s">
        <v>213</v>
      </c>
    </row>
    <row r="23" spans="1:2" x14ac:dyDescent="0.35">
      <c r="A23" s="12" t="s">
        <v>691</v>
      </c>
      <c r="B23" s="9" t="s">
        <v>690</v>
      </c>
    </row>
    <row r="24" spans="1:2" x14ac:dyDescent="0.35">
      <c r="A24" s="12" t="s">
        <v>507</v>
      </c>
      <c r="B24" s="9" t="s">
        <v>482</v>
      </c>
    </row>
    <row r="25" spans="1:2" x14ac:dyDescent="0.35">
      <c r="A25" s="12" t="s">
        <v>766</v>
      </c>
      <c r="B25" s="9" t="s">
        <v>557</v>
      </c>
    </row>
    <row r="26" spans="1:2" x14ac:dyDescent="0.35">
      <c r="A26" s="12" t="s">
        <v>308</v>
      </c>
      <c r="B26" s="9" t="s">
        <v>767</v>
      </c>
    </row>
    <row r="27" spans="1:2" x14ac:dyDescent="0.35">
      <c r="A27" s="12" t="s">
        <v>536</v>
      </c>
      <c r="B27" s="9" t="s">
        <v>789</v>
      </c>
    </row>
    <row r="28" spans="1:2" x14ac:dyDescent="0.35">
      <c r="A28" s="12" t="s">
        <v>394</v>
      </c>
      <c r="B28" s="9" t="s">
        <v>459</v>
      </c>
    </row>
    <row r="29" spans="1:2" x14ac:dyDescent="0.35">
      <c r="A29" s="12" t="s">
        <v>197</v>
      </c>
      <c r="B29" s="9" t="s">
        <v>489</v>
      </c>
    </row>
    <row r="30" spans="1:2" x14ac:dyDescent="0.35">
      <c r="A30" s="12" t="s">
        <v>686</v>
      </c>
      <c r="B30" s="9" t="s">
        <v>535</v>
      </c>
    </row>
    <row r="31" spans="1:2" x14ac:dyDescent="0.35">
      <c r="A31" s="12" t="s">
        <v>649</v>
      </c>
      <c r="B31" s="9" t="s">
        <v>467</v>
      </c>
    </row>
    <row r="32" spans="1:2" x14ac:dyDescent="0.35">
      <c r="A32" s="12" t="s">
        <v>586</v>
      </c>
      <c r="B32" s="9" t="s">
        <v>693</v>
      </c>
    </row>
    <row r="33" spans="1:2" x14ac:dyDescent="0.35">
      <c r="A33" s="12" t="s">
        <v>209</v>
      </c>
      <c r="B33" s="9" t="s">
        <v>427</v>
      </c>
    </row>
    <row r="34" spans="1:2" x14ac:dyDescent="0.35">
      <c r="A34" s="12" t="s">
        <v>1207</v>
      </c>
      <c r="B34" s="9" t="s">
        <v>309</v>
      </c>
    </row>
    <row r="35" spans="1:2" x14ac:dyDescent="0.35">
      <c r="A35" s="12" t="s">
        <v>515</v>
      </c>
      <c r="B35" s="9" t="s">
        <v>514</v>
      </c>
    </row>
    <row r="36" spans="1:2" x14ac:dyDescent="0.35">
      <c r="A36" s="12" t="s">
        <v>46</v>
      </c>
      <c r="B36" s="9" t="s">
        <v>45</v>
      </c>
    </row>
    <row r="37" spans="1:2" x14ac:dyDescent="0.35">
      <c r="A37" s="12" t="s">
        <v>579</v>
      </c>
      <c r="B37" s="9" t="s">
        <v>349</v>
      </c>
    </row>
    <row r="38" spans="1:2" x14ac:dyDescent="0.35">
      <c r="A38" s="12" t="s">
        <v>457</v>
      </c>
      <c r="B38" s="9" t="s">
        <v>450</v>
      </c>
    </row>
    <row r="39" spans="1:2" x14ac:dyDescent="0.35">
      <c r="A39" s="12" t="s">
        <v>589</v>
      </c>
      <c r="B39" s="9" t="s">
        <v>942</v>
      </c>
    </row>
    <row r="40" spans="1:2" x14ac:dyDescent="0.35">
      <c r="A40" s="12" t="s">
        <v>135</v>
      </c>
      <c r="B40" s="9" t="s">
        <v>42</v>
      </c>
    </row>
    <row r="41" spans="1:2" x14ac:dyDescent="0.35">
      <c r="A41" s="12" t="s">
        <v>654</v>
      </c>
      <c r="B41" s="9" t="s">
        <v>636</v>
      </c>
    </row>
    <row r="42" spans="1:2" x14ac:dyDescent="0.35">
      <c r="A42" s="12" t="s">
        <v>773</v>
      </c>
      <c r="B42" s="9" t="s">
        <v>44</v>
      </c>
    </row>
    <row r="43" spans="1:2" x14ac:dyDescent="0.35">
      <c r="A43" s="12" t="s">
        <v>68</v>
      </c>
      <c r="B43" s="9" t="s">
        <v>426</v>
      </c>
    </row>
    <row r="44" spans="1:2" x14ac:dyDescent="0.35">
      <c r="A44" s="12" t="s">
        <v>125</v>
      </c>
      <c r="B44" s="9" t="s">
        <v>124</v>
      </c>
    </row>
    <row r="45" spans="1:2" x14ac:dyDescent="0.35">
      <c r="A45" s="12" t="s">
        <v>454</v>
      </c>
      <c r="B45" s="9" t="s">
        <v>231</v>
      </c>
    </row>
    <row r="46" spans="1:2" x14ac:dyDescent="0.35">
      <c r="A46" s="12" t="s">
        <v>293</v>
      </c>
      <c r="B46" s="9" t="s">
        <v>782</v>
      </c>
    </row>
    <row r="47" spans="1:2" x14ac:dyDescent="0.35">
      <c r="A47" s="12" t="s">
        <v>488</v>
      </c>
      <c r="B47" s="9" t="s">
        <v>217</v>
      </c>
    </row>
    <row r="48" spans="1:2" x14ac:dyDescent="0.35">
      <c r="A48" s="12" t="s">
        <v>620</v>
      </c>
      <c r="B48" s="9" t="s">
        <v>645</v>
      </c>
    </row>
    <row r="49" spans="1:2" x14ac:dyDescent="0.35">
      <c r="A49" s="12" t="s">
        <v>1206</v>
      </c>
      <c r="B49" s="9" t="s">
        <v>40</v>
      </c>
    </row>
    <row r="50" spans="1:2" x14ac:dyDescent="0.35">
      <c r="A50" s="12" t="s">
        <v>1107</v>
      </c>
      <c r="B50" s="9" t="s">
        <v>195</v>
      </c>
    </row>
    <row r="51" spans="1:2" x14ac:dyDescent="0.35">
      <c r="A51" s="12" t="s">
        <v>55</v>
      </c>
      <c r="B51" s="9" t="s">
        <v>54</v>
      </c>
    </row>
    <row r="52" spans="1:2" x14ac:dyDescent="0.35">
      <c r="A52" s="12" t="s">
        <v>502</v>
      </c>
      <c r="B52" s="9" t="s">
        <v>191</v>
      </c>
    </row>
    <row r="53" spans="1:2" x14ac:dyDescent="0.35">
      <c r="A53" s="12" t="s">
        <v>794</v>
      </c>
      <c r="B53" s="9" t="s">
        <v>768</v>
      </c>
    </row>
    <row r="54" spans="1:2" x14ac:dyDescent="0.35">
      <c r="A54" s="12" t="s">
        <v>574</v>
      </c>
      <c r="B54" s="9" t="s">
        <v>573</v>
      </c>
    </row>
    <row r="55" spans="1:2" x14ac:dyDescent="0.35">
      <c r="A55" s="12" t="s">
        <v>583</v>
      </c>
      <c r="B55" s="9" t="s">
        <v>519</v>
      </c>
    </row>
    <row r="56" spans="1:2" x14ac:dyDescent="0.35">
      <c r="A56" s="12" t="s">
        <v>347</v>
      </c>
      <c r="B56" s="9" t="s">
        <v>697</v>
      </c>
    </row>
    <row r="57" spans="1:2" x14ac:dyDescent="0.35">
      <c r="A57" s="12" t="s">
        <v>137</v>
      </c>
      <c r="B57" s="9" t="s">
        <v>134</v>
      </c>
    </row>
    <row r="58" spans="1:2" x14ac:dyDescent="0.35">
      <c r="A58" s="12" t="s">
        <v>651</v>
      </c>
      <c r="B58" s="9" t="s">
        <v>751</v>
      </c>
    </row>
    <row r="59" spans="1:2" x14ac:dyDescent="0.35">
      <c r="A59" s="12" t="s">
        <v>379</v>
      </c>
      <c r="B59" s="9" t="s">
        <v>378</v>
      </c>
    </row>
    <row r="60" spans="1:2" x14ac:dyDescent="0.35">
      <c r="A60" s="12" t="s">
        <v>93</v>
      </c>
      <c r="B60" s="9" t="s">
        <v>92</v>
      </c>
    </row>
    <row r="61" spans="1:2" x14ac:dyDescent="0.35">
      <c r="A61" s="12" t="s">
        <v>358</v>
      </c>
      <c r="B61" s="9" t="s">
        <v>1143</v>
      </c>
    </row>
    <row r="62" spans="1:2" x14ac:dyDescent="0.35">
      <c r="A62" s="12" t="s">
        <v>592</v>
      </c>
      <c r="B62" s="9" t="s">
        <v>145</v>
      </c>
    </row>
    <row r="63" spans="1:2" x14ac:dyDescent="0.35">
      <c r="A63" s="12" t="s">
        <v>329</v>
      </c>
      <c r="B63" s="9" t="s">
        <v>273</v>
      </c>
    </row>
    <row r="64" spans="1:2" x14ac:dyDescent="0.35">
      <c r="A64" s="12" t="s">
        <v>555</v>
      </c>
      <c r="B64" s="9" t="s">
        <v>582</v>
      </c>
    </row>
    <row r="65" spans="1:2" x14ac:dyDescent="0.35">
      <c r="A65" s="12" t="s">
        <v>253</v>
      </c>
      <c r="B65" s="9" t="s">
        <v>108</v>
      </c>
    </row>
    <row r="66" spans="1:2" x14ac:dyDescent="0.35">
      <c r="A66" s="12" t="s">
        <v>1109</v>
      </c>
      <c r="B66" s="9" t="s">
        <v>121</v>
      </c>
    </row>
    <row r="67" spans="1:2" x14ac:dyDescent="0.35">
      <c r="A67" s="12" t="s">
        <v>643</v>
      </c>
      <c r="B67" s="9" t="s">
        <v>439</v>
      </c>
    </row>
    <row r="68" spans="1:2" x14ac:dyDescent="0.35">
      <c r="A68" s="12" t="s">
        <v>373</v>
      </c>
      <c r="B68" s="9" t="s">
        <v>627</v>
      </c>
    </row>
    <row r="69" spans="1:2" x14ac:dyDescent="0.35">
      <c r="A69" s="12" t="s">
        <v>119</v>
      </c>
      <c r="B69" s="9" t="s">
        <v>132</v>
      </c>
    </row>
    <row r="70" spans="1:2" x14ac:dyDescent="0.35">
      <c r="A70" s="12" t="s">
        <v>477</v>
      </c>
      <c r="B70" s="9" t="s">
        <v>392</v>
      </c>
    </row>
    <row r="71" spans="1:2" x14ac:dyDescent="0.35">
      <c r="A71" s="12" t="s">
        <v>1104</v>
      </c>
      <c r="B71" s="9" t="s">
        <v>130</v>
      </c>
    </row>
    <row r="72" spans="1:2" x14ac:dyDescent="0.35">
      <c r="A72" s="12" t="s">
        <v>28</v>
      </c>
      <c r="B72" s="9" t="s">
        <v>27</v>
      </c>
    </row>
    <row r="73" spans="1:2" x14ac:dyDescent="0.35">
      <c r="A73" s="12" t="s">
        <v>1100</v>
      </c>
      <c r="B73" s="9" t="s">
        <v>226</v>
      </c>
    </row>
    <row r="74" spans="1:2" x14ac:dyDescent="0.35">
      <c r="A74" s="12" t="s">
        <v>604</v>
      </c>
      <c r="B74" s="9" t="s">
        <v>603</v>
      </c>
    </row>
    <row r="75" spans="1:2" x14ac:dyDescent="0.35">
      <c r="A75" s="12" t="s">
        <v>385</v>
      </c>
      <c r="B75" s="9" t="s">
        <v>344</v>
      </c>
    </row>
    <row r="76" spans="1:2" x14ac:dyDescent="0.35">
      <c r="A76" s="12" t="s">
        <v>317</v>
      </c>
      <c r="B76" s="9" t="s">
        <v>762</v>
      </c>
    </row>
    <row r="77" spans="1:2" x14ac:dyDescent="0.35">
      <c r="A77" s="12" t="s">
        <v>1102</v>
      </c>
      <c r="B77" s="9" t="s">
        <v>303</v>
      </c>
    </row>
    <row r="78" spans="1:2" x14ac:dyDescent="0.35">
      <c r="A78" s="12" t="s">
        <v>550</v>
      </c>
      <c r="B78" s="9" t="s">
        <v>647</v>
      </c>
    </row>
    <row r="79" spans="1:2" x14ac:dyDescent="0.35">
      <c r="A79" s="12" t="s">
        <v>313</v>
      </c>
      <c r="B79" s="9" t="s">
        <v>369</v>
      </c>
    </row>
    <row r="80" spans="1:2" x14ac:dyDescent="0.35">
      <c r="A80" s="12" t="s">
        <v>219</v>
      </c>
      <c r="B80" s="9" t="s">
        <v>218</v>
      </c>
    </row>
    <row r="81" spans="1:2" x14ac:dyDescent="0.35">
      <c r="A81" s="12" t="s">
        <v>255</v>
      </c>
      <c r="B81" s="9" t="s">
        <v>538</v>
      </c>
    </row>
    <row r="82" spans="1:2" x14ac:dyDescent="0.35">
      <c r="A82" s="12" t="s">
        <v>795</v>
      </c>
      <c r="B82" s="9" t="s">
        <v>127</v>
      </c>
    </row>
    <row r="83" spans="1:2" x14ac:dyDescent="0.35">
      <c r="A83" s="12" t="s">
        <v>785</v>
      </c>
      <c r="B83" s="9" t="s">
        <v>38</v>
      </c>
    </row>
    <row r="84" spans="1:2" x14ac:dyDescent="0.35">
      <c r="A84" s="12" t="s">
        <v>584</v>
      </c>
      <c r="B84" s="9" t="s">
        <v>290</v>
      </c>
    </row>
    <row r="85" spans="1:2" x14ac:dyDescent="0.35">
      <c r="A85" s="12" t="s">
        <v>529</v>
      </c>
      <c r="B85" s="9" t="s">
        <v>192</v>
      </c>
    </row>
    <row r="86" spans="1:2" x14ac:dyDescent="0.35">
      <c r="A86" s="12" t="s">
        <v>382</v>
      </c>
      <c r="B86" s="9" t="s">
        <v>537</v>
      </c>
    </row>
    <row r="87" spans="1:2" x14ac:dyDescent="0.35">
      <c r="A87" s="12" t="s">
        <v>609</v>
      </c>
      <c r="B87" s="9" t="s">
        <v>608</v>
      </c>
    </row>
    <row r="88" spans="1:2" x14ac:dyDescent="0.35">
      <c r="A88" s="12" t="s">
        <v>676</v>
      </c>
      <c r="B88" s="9" t="s">
        <v>648</v>
      </c>
    </row>
    <row r="89" spans="1:2" x14ac:dyDescent="0.35">
      <c r="A89" s="12" t="s">
        <v>128</v>
      </c>
      <c r="B89" s="9" t="s">
        <v>346</v>
      </c>
    </row>
    <row r="90" spans="1:2" x14ac:dyDescent="0.35">
      <c r="A90" s="12" t="s">
        <v>492</v>
      </c>
      <c r="B90" s="9" t="s">
        <v>761</v>
      </c>
    </row>
    <row r="91" spans="1:2" x14ac:dyDescent="0.35">
      <c r="A91" s="12" t="s">
        <v>1101</v>
      </c>
      <c r="B91" s="9" t="s">
        <v>399</v>
      </c>
    </row>
    <row r="92" spans="1:2" x14ac:dyDescent="0.35">
      <c r="A92" s="12" t="s">
        <v>247</v>
      </c>
      <c r="B92" s="9" t="s">
        <v>610</v>
      </c>
    </row>
    <row r="93" spans="1:2" x14ac:dyDescent="0.35">
      <c r="A93" s="12" t="s">
        <v>642</v>
      </c>
      <c r="B93" s="9" t="s">
        <v>641</v>
      </c>
    </row>
    <row r="94" spans="1:2" x14ac:dyDescent="0.35">
      <c r="A94" s="12" t="s">
        <v>711</v>
      </c>
      <c r="B94" s="9" t="s">
        <v>192</v>
      </c>
    </row>
    <row r="95" spans="1:2" x14ac:dyDescent="0.35">
      <c r="A95" s="12" t="s">
        <v>703</v>
      </c>
      <c r="B95" s="9" t="s">
        <v>248</v>
      </c>
    </row>
    <row r="96" spans="1:2" x14ac:dyDescent="0.35">
      <c r="A96" s="12" t="s">
        <v>383</v>
      </c>
      <c r="B96" s="9" t="s">
        <v>162</v>
      </c>
    </row>
    <row r="97" spans="1:2" x14ac:dyDescent="0.35">
      <c r="A97" s="12" t="s">
        <v>718</v>
      </c>
      <c r="B97" s="9" t="s">
        <v>511</v>
      </c>
    </row>
    <row r="98" spans="1:2" x14ac:dyDescent="0.35">
      <c r="A98" s="12" t="s">
        <v>107</v>
      </c>
      <c r="B98" s="9" t="s">
        <v>275</v>
      </c>
    </row>
    <row r="99" spans="1:2" x14ac:dyDescent="0.35">
      <c r="A99" s="12" t="s">
        <v>764</v>
      </c>
      <c r="B99" s="9" t="s">
        <v>763</v>
      </c>
    </row>
    <row r="100" spans="1:2" x14ac:dyDescent="0.35">
      <c r="A100" s="12" t="s">
        <v>1209</v>
      </c>
      <c r="B100" s="9" t="s">
        <v>24</v>
      </c>
    </row>
    <row r="101" spans="1:2" x14ac:dyDescent="0.35">
      <c r="A101" s="12" t="s">
        <v>1105</v>
      </c>
      <c r="B101" s="9" t="s">
        <v>1208</v>
      </c>
    </row>
    <row r="102" spans="1:2" x14ac:dyDescent="0.35">
      <c r="A102" s="12" t="s">
        <v>166</v>
      </c>
      <c r="B102" s="9" t="s">
        <v>695</v>
      </c>
    </row>
    <row r="103" spans="1:2" x14ac:dyDescent="0.35">
      <c r="A103" s="12" t="s">
        <v>353</v>
      </c>
      <c r="B103" s="9" t="s">
        <v>593</v>
      </c>
    </row>
    <row r="104" spans="1:2" x14ac:dyDescent="0.35">
      <c r="A104" s="12" t="s">
        <v>179</v>
      </c>
      <c r="B104" s="9" t="s">
        <v>506</v>
      </c>
    </row>
    <row r="105" spans="1:2" x14ac:dyDescent="0.35">
      <c r="A105" s="12" t="s">
        <v>326</v>
      </c>
      <c r="B105" s="9" t="s">
        <v>716</v>
      </c>
    </row>
    <row r="106" spans="1:2" x14ac:dyDescent="0.35">
      <c r="A106" s="12" t="s">
        <v>120</v>
      </c>
      <c r="B106" s="9" t="s">
        <v>616</v>
      </c>
    </row>
    <row r="107" spans="1:2" x14ac:dyDescent="0.35">
      <c r="A107" s="12" t="s">
        <v>72</v>
      </c>
      <c r="B107" s="9" t="s">
        <v>424</v>
      </c>
    </row>
    <row r="108" spans="1:2" x14ac:dyDescent="0.35">
      <c r="A108" s="12" t="s">
        <v>266</v>
      </c>
      <c r="B108" s="9" t="s">
        <v>265</v>
      </c>
    </row>
    <row r="109" spans="1:2" x14ac:dyDescent="0.35">
      <c r="A109" s="12" t="s">
        <v>1108</v>
      </c>
      <c r="B109" s="9" t="s">
        <v>224</v>
      </c>
    </row>
    <row r="110" spans="1:2" x14ac:dyDescent="0.35">
      <c r="A110" s="12" t="s">
        <v>39</v>
      </c>
      <c r="B110" s="9" t="s">
        <v>779</v>
      </c>
    </row>
    <row r="111" spans="1:2" x14ac:dyDescent="0.35">
      <c r="A111" s="12" t="s">
        <v>322</v>
      </c>
      <c r="B111" s="9" t="s">
        <v>1144</v>
      </c>
    </row>
    <row r="112" spans="1:2" x14ac:dyDescent="0.35">
      <c r="A112" s="12" t="s">
        <v>319</v>
      </c>
      <c r="B112" s="9" t="s">
        <v>752</v>
      </c>
    </row>
    <row r="113" spans="1:2" x14ac:dyDescent="0.35">
      <c r="A113" s="12" t="s">
        <v>1106</v>
      </c>
      <c r="B113" s="9" t="s">
        <v>149</v>
      </c>
    </row>
    <row r="114" spans="1:2" x14ac:dyDescent="0.35">
      <c r="A114" s="12" t="s">
        <v>534</v>
      </c>
      <c r="B114" s="9" t="s">
        <v>533</v>
      </c>
    </row>
    <row r="115" spans="1:2" x14ac:dyDescent="0.35">
      <c r="A115" s="12" t="s">
        <v>114</v>
      </c>
      <c r="B115" s="9" t="s">
        <v>27</v>
      </c>
    </row>
    <row r="116" spans="1:2" x14ac:dyDescent="0.35">
      <c r="A116" s="12" t="s">
        <v>672</v>
      </c>
      <c r="B116" s="9" t="s">
        <v>671</v>
      </c>
    </row>
    <row r="117" spans="1:2" x14ac:dyDescent="0.35">
      <c r="A117" s="12" t="s">
        <v>284</v>
      </c>
      <c r="B117" s="9" t="s">
        <v>283</v>
      </c>
    </row>
    <row r="118" spans="1:2" x14ac:dyDescent="0.35">
      <c r="A118" s="12" t="s">
        <v>771</v>
      </c>
      <c r="B118" s="9" t="s">
        <v>22</v>
      </c>
    </row>
    <row r="119" spans="1:2" x14ac:dyDescent="0.35">
      <c r="A119" s="12" t="s">
        <v>480</v>
      </c>
      <c r="B119" s="9" t="s">
        <v>1145</v>
      </c>
    </row>
    <row r="120" spans="1:2" x14ac:dyDescent="0.35">
      <c r="A120" s="12" t="s">
        <v>714</v>
      </c>
      <c r="B120" s="9" t="s">
        <v>713</v>
      </c>
    </row>
    <row r="121" spans="1:2" x14ac:dyDescent="0.35">
      <c r="A121" s="12" t="s">
        <v>400</v>
      </c>
      <c r="B121" s="9" t="s">
        <v>943</v>
      </c>
    </row>
    <row r="122" spans="1:2" x14ac:dyDescent="0.35">
      <c r="A122" s="12" t="s">
        <v>737</v>
      </c>
      <c r="B122" s="9" t="s">
        <v>736</v>
      </c>
    </row>
    <row r="123" spans="1:2" x14ac:dyDescent="0.35">
      <c r="A123" s="12" t="s">
        <v>1103</v>
      </c>
      <c r="B123" s="9" t="s">
        <v>525</v>
      </c>
    </row>
    <row r="124" spans="1:2" x14ac:dyDescent="0.35">
      <c r="A124" s="12" t="s">
        <v>205</v>
      </c>
      <c r="B124" s="9" t="s">
        <v>146</v>
      </c>
    </row>
    <row r="125" spans="1:2" x14ac:dyDescent="0.35">
      <c r="A125" s="12" t="s">
        <v>1114</v>
      </c>
      <c r="B125" s="9" t="s">
        <v>524</v>
      </c>
    </row>
    <row r="126" spans="1:2" x14ac:dyDescent="0.35">
      <c r="A126" s="12" t="s">
        <v>790</v>
      </c>
      <c r="B126" s="9" t="s">
        <v>470</v>
      </c>
    </row>
    <row r="127" spans="1:2" x14ac:dyDescent="0.35">
      <c r="A127" s="12" t="s">
        <v>225</v>
      </c>
      <c r="B127" s="9" t="s">
        <v>505</v>
      </c>
    </row>
    <row r="128" spans="1:2" x14ac:dyDescent="0.35">
      <c r="A128" s="12" t="s">
        <v>35</v>
      </c>
      <c r="B128" s="9" t="s">
        <v>34</v>
      </c>
    </row>
    <row r="129" spans="1:2" x14ac:dyDescent="0.35">
      <c r="A129" s="12" t="s">
        <v>215</v>
      </c>
      <c r="B129" s="9" t="s">
        <v>708</v>
      </c>
    </row>
    <row r="130" spans="1:2" x14ac:dyDescent="0.35">
      <c r="A130" s="12" t="s">
        <v>67</v>
      </c>
      <c r="B130" s="9" t="s">
        <v>788</v>
      </c>
    </row>
    <row r="131" spans="1:2" x14ac:dyDescent="0.35">
      <c r="A131" s="12" t="s">
        <v>405</v>
      </c>
      <c r="B131" s="9" t="s">
        <v>404</v>
      </c>
    </row>
    <row r="132" spans="1:2" x14ac:dyDescent="0.35">
      <c r="A132" s="12" t="s">
        <v>1113</v>
      </c>
      <c r="B132" s="9" t="s">
        <v>371</v>
      </c>
    </row>
    <row r="133" spans="1:2" x14ac:dyDescent="0.35">
      <c r="A133" s="12" t="s">
        <v>289</v>
      </c>
      <c r="B133" s="9" t="s">
        <v>944</v>
      </c>
    </row>
    <row r="134" spans="1:2" x14ac:dyDescent="0.35">
      <c r="A134" s="12" t="s">
        <v>122</v>
      </c>
      <c r="B134" s="9" t="s">
        <v>196</v>
      </c>
    </row>
    <row r="135" spans="1:2" x14ac:dyDescent="0.35">
      <c r="A135" s="12" t="s">
        <v>712</v>
      </c>
      <c r="B135" s="9" t="s">
        <v>262</v>
      </c>
    </row>
    <row r="136" spans="1:2" x14ac:dyDescent="0.35">
      <c r="A136" s="12" t="s">
        <v>21</v>
      </c>
      <c r="B136" s="9" t="s">
        <v>20</v>
      </c>
    </row>
    <row r="137" spans="1:2" x14ac:dyDescent="0.35">
      <c r="A137" s="12" t="s">
        <v>760</v>
      </c>
      <c r="B137" s="9" t="s">
        <v>285</v>
      </c>
    </row>
    <row r="138" spans="1:2" x14ac:dyDescent="0.35">
      <c r="A138" s="12" t="s">
        <v>1120</v>
      </c>
      <c r="B138" s="9" t="s">
        <v>126</v>
      </c>
    </row>
    <row r="139" spans="1:2" x14ac:dyDescent="0.35">
      <c r="A139" s="12" t="s">
        <v>487</v>
      </c>
      <c r="B139" s="9" t="s">
        <v>486</v>
      </c>
    </row>
    <row r="140" spans="1:2" x14ac:dyDescent="0.35">
      <c r="A140" s="12" t="s">
        <v>83</v>
      </c>
      <c r="B140" s="9" t="s">
        <v>484</v>
      </c>
    </row>
    <row r="141" spans="1:2" x14ac:dyDescent="0.35">
      <c r="A141" s="12" t="s">
        <v>624</v>
      </c>
      <c r="B141" s="9" t="s">
        <v>758</v>
      </c>
    </row>
    <row r="142" spans="1:2" x14ac:dyDescent="0.35">
      <c r="A142" s="12" t="s">
        <v>227</v>
      </c>
      <c r="B142" s="9" t="s">
        <v>754</v>
      </c>
    </row>
    <row r="143" spans="1:2" x14ac:dyDescent="0.35">
      <c r="A143" s="12" t="s">
        <v>673</v>
      </c>
      <c r="B143" s="9" t="s">
        <v>395</v>
      </c>
    </row>
    <row r="144" spans="1:2" x14ac:dyDescent="0.35">
      <c r="A144" s="12" t="s">
        <v>704</v>
      </c>
      <c r="B144" s="9" t="s">
        <v>282</v>
      </c>
    </row>
    <row r="145" spans="1:2" x14ac:dyDescent="0.35">
      <c r="A145" s="12" t="s">
        <v>1112</v>
      </c>
      <c r="B145" s="9" t="s">
        <v>345</v>
      </c>
    </row>
    <row r="146" spans="1:2" x14ac:dyDescent="0.35">
      <c r="A146" s="12" t="s">
        <v>295</v>
      </c>
      <c r="B146" s="9" t="s">
        <v>770</v>
      </c>
    </row>
    <row r="147" spans="1:2" x14ac:dyDescent="0.35">
      <c r="A147" s="12" t="s">
        <v>186</v>
      </c>
      <c r="B147" s="9" t="s">
        <v>185</v>
      </c>
    </row>
    <row r="148" spans="1:2" x14ac:dyDescent="0.35">
      <c r="A148" s="12" t="s">
        <v>79</v>
      </c>
      <c r="B148" s="9" t="s">
        <v>105</v>
      </c>
    </row>
    <row r="149" spans="1:2" x14ac:dyDescent="0.35">
      <c r="A149" s="12" t="s">
        <v>528</v>
      </c>
      <c r="B149" s="9" t="s">
        <v>144</v>
      </c>
    </row>
    <row r="150" spans="1:2" x14ac:dyDescent="0.35">
      <c r="A150" s="12" t="s">
        <v>142</v>
      </c>
      <c r="B150" s="9" t="s">
        <v>109</v>
      </c>
    </row>
    <row r="151" spans="1:2" x14ac:dyDescent="0.35">
      <c r="A151" s="12" t="s">
        <v>452</v>
      </c>
      <c r="B151" s="9" t="s">
        <v>451</v>
      </c>
    </row>
    <row r="152" spans="1:2" x14ac:dyDescent="0.35">
      <c r="A152" s="12" t="s">
        <v>600</v>
      </c>
      <c r="B152" s="9" t="s">
        <v>108</v>
      </c>
    </row>
    <row r="153" spans="1:2" x14ac:dyDescent="0.35">
      <c r="A153" s="12" t="s">
        <v>78</v>
      </c>
      <c r="B153" s="9" t="s">
        <v>23</v>
      </c>
    </row>
    <row r="154" spans="1:2" x14ac:dyDescent="0.35">
      <c r="A154" s="12" t="s">
        <v>70</v>
      </c>
      <c r="B154" s="9" t="s">
        <v>576</v>
      </c>
    </row>
    <row r="155" spans="1:2" x14ac:dyDescent="0.35">
      <c r="A155" s="12" t="s">
        <v>508</v>
      </c>
      <c r="B155" s="9" t="s">
        <v>783</v>
      </c>
    </row>
    <row r="156" spans="1:2" x14ac:dyDescent="0.35">
      <c r="A156" s="12" t="s">
        <v>140</v>
      </c>
      <c r="B156" s="9" t="s">
        <v>414</v>
      </c>
    </row>
    <row r="157" spans="1:2" x14ac:dyDescent="0.35">
      <c r="A157" s="12" t="s">
        <v>221</v>
      </c>
      <c r="B157" s="9" t="s">
        <v>563</v>
      </c>
    </row>
    <row r="158" spans="1:2" x14ac:dyDescent="0.35">
      <c r="A158" s="12" t="s">
        <v>194</v>
      </c>
      <c r="B158" s="9" t="s">
        <v>258</v>
      </c>
    </row>
    <row r="159" spans="1:2" x14ac:dyDescent="0.35">
      <c r="A159" s="12" t="s">
        <v>203</v>
      </c>
      <c r="B159" s="9" t="s">
        <v>356</v>
      </c>
    </row>
    <row r="160" spans="1:2" x14ac:dyDescent="0.35">
      <c r="A160" s="12" t="s">
        <v>1210</v>
      </c>
      <c r="B160" s="9" t="s">
        <v>259</v>
      </c>
    </row>
    <row r="161" spans="1:2" x14ac:dyDescent="0.35">
      <c r="A161" s="12" t="s">
        <v>512</v>
      </c>
      <c r="B161" s="9" t="s">
        <v>330</v>
      </c>
    </row>
    <row r="162" spans="1:2" x14ac:dyDescent="0.35">
      <c r="A162" s="12" t="s">
        <v>304</v>
      </c>
      <c r="B162" s="9" t="s">
        <v>94</v>
      </c>
    </row>
    <row r="163" spans="1:2" x14ac:dyDescent="0.35">
      <c r="A163" s="12" t="s">
        <v>599</v>
      </c>
      <c r="B163" s="9" t="s">
        <v>458</v>
      </c>
    </row>
    <row r="164" spans="1:2" x14ac:dyDescent="0.35">
      <c r="A164" s="12" t="s">
        <v>756</v>
      </c>
      <c r="B164" s="9" t="s">
        <v>483</v>
      </c>
    </row>
    <row r="165" spans="1:2" x14ac:dyDescent="0.35">
      <c r="A165" s="12" t="s">
        <v>607</v>
      </c>
      <c r="B165" s="9" t="s">
        <v>606</v>
      </c>
    </row>
    <row r="166" spans="1:2" x14ac:dyDescent="0.35">
      <c r="A166" s="12" t="s">
        <v>1110</v>
      </c>
      <c r="B166" s="9" t="s">
        <v>222</v>
      </c>
    </row>
    <row r="167" spans="1:2" x14ac:dyDescent="0.35">
      <c r="A167" s="12" t="s">
        <v>787</v>
      </c>
      <c r="B167" s="9" t="s">
        <v>1090</v>
      </c>
    </row>
    <row r="168" spans="1:2" x14ac:dyDescent="0.35">
      <c r="A168" s="12" t="s">
        <v>523</v>
      </c>
      <c r="B168" s="9" t="s">
        <v>601</v>
      </c>
    </row>
    <row r="169" spans="1:2" x14ac:dyDescent="0.35">
      <c r="A169" s="12" t="s">
        <v>466</v>
      </c>
      <c r="B169" s="9" t="s">
        <v>729</v>
      </c>
    </row>
    <row r="170" spans="1:2" x14ac:dyDescent="0.35">
      <c r="A170" s="12" t="s">
        <v>774</v>
      </c>
      <c r="B170" s="9" t="s">
        <v>570</v>
      </c>
    </row>
    <row r="171" spans="1:2" x14ac:dyDescent="0.35">
      <c r="A171" s="12" t="s">
        <v>744</v>
      </c>
      <c r="B171" s="9" t="s">
        <v>777</v>
      </c>
    </row>
    <row r="172" spans="1:2" x14ac:dyDescent="0.35">
      <c r="A172" s="12" t="s">
        <v>151</v>
      </c>
      <c r="B172" s="9" t="s">
        <v>150</v>
      </c>
    </row>
    <row r="173" spans="1:2" x14ac:dyDescent="0.35">
      <c r="A173" s="12" t="s">
        <v>158</v>
      </c>
      <c r="B173" s="9" t="s">
        <v>591</v>
      </c>
    </row>
    <row r="174" spans="1:2" x14ac:dyDescent="0.35">
      <c r="A174" s="12" t="s">
        <v>112</v>
      </c>
      <c r="B174" s="9" t="s">
        <v>111</v>
      </c>
    </row>
    <row r="175" spans="1:2" x14ac:dyDescent="0.35">
      <c r="A175" s="12" t="s">
        <v>499</v>
      </c>
      <c r="B175" s="9" t="s">
        <v>498</v>
      </c>
    </row>
    <row r="176" spans="1:2" x14ac:dyDescent="0.35">
      <c r="A176" s="12" t="s">
        <v>578</v>
      </c>
      <c r="B176" s="9" t="s">
        <v>577</v>
      </c>
    </row>
    <row r="177" spans="1:2" x14ac:dyDescent="0.35">
      <c r="A177" s="12" t="s">
        <v>675</v>
      </c>
      <c r="B177" s="9" t="s">
        <v>333</v>
      </c>
    </row>
    <row r="178" spans="1:2" x14ac:dyDescent="0.35">
      <c r="A178" s="12" t="s">
        <v>170</v>
      </c>
      <c r="B178" s="9" t="s">
        <v>236</v>
      </c>
    </row>
    <row r="179" spans="1:2" x14ac:dyDescent="0.35">
      <c r="A179" s="12" t="s">
        <v>87</v>
      </c>
      <c r="B179" s="9" t="s">
        <v>288</v>
      </c>
    </row>
    <row r="180" spans="1:2" x14ac:dyDescent="0.35">
      <c r="A180" s="12" t="s">
        <v>41</v>
      </c>
      <c r="B180" s="9" t="s">
        <v>318</v>
      </c>
    </row>
    <row r="181" spans="1:2" x14ac:dyDescent="0.35">
      <c r="A181" s="12" t="s">
        <v>706</v>
      </c>
      <c r="B181" s="9" t="s">
        <v>63</v>
      </c>
    </row>
    <row r="182" spans="1:2" x14ac:dyDescent="0.35">
      <c r="A182" s="12" t="s">
        <v>388</v>
      </c>
      <c r="B182" s="9" t="s">
        <v>387</v>
      </c>
    </row>
    <row r="183" spans="1:2" x14ac:dyDescent="0.35">
      <c r="A183" s="12" t="s">
        <v>650</v>
      </c>
      <c r="B183" s="9" t="s">
        <v>386</v>
      </c>
    </row>
    <row r="184" spans="1:2" x14ac:dyDescent="0.35">
      <c r="A184" s="12" t="s">
        <v>743</v>
      </c>
      <c r="B184" s="9" t="s">
        <v>212</v>
      </c>
    </row>
    <row r="185" spans="1:2" x14ac:dyDescent="0.35">
      <c r="A185" s="12" t="s">
        <v>19</v>
      </c>
      <c r="B185" s="9" t="s">
        <v>251</v>
      </c>
    </row>
    <row r="186" spans="1:2" x14ac:dyDescent="0.35">
      <c r="A186" s="12" t="s">
        <v>3</v>
      </c>
      <c r="B186" s="9" t="s">
        <v>52</v>
      </c>
    </row>
    <row r="187" spans="1:2" x14ac:dyDescent="0.35">
      <c r="A187" s="12" t="s">
        <v>1211</v>
      </c>
      <c r="B187" s="9" t="s">
        <v>115</v>
      </c>
    </row>
    <row r="188" spans="1:2" x14ac:dyDescent="0.35">
      <c r="A188" s="12" t="s">
        <v>312</v>
      </c>
      <c r="B188" s="9" t="s">
        <v>311</v>
      </c>
    </row>
    <row r="189" spans="1:2" x14ac:dyDescent="0.35">
      <c r="A189" s="12" t="s">
        <v>526</v>
      </c>
      <c r="B189" s="9" t="s">
        <v>422</v>
      </c>
    </row>
    <row r="190" spans="1:2" x14ac:dyDescent="0.35">
      <c r="A190" s="12" t="s">
        <v>1111</v>
      </c>
      <c r="B190" s="9" t="s">
        <v>701</v>
      </c>
    </row>
    <row r="191" spans="1:2" x14ac:dyDescent="0.35">
      <c r="A191" s="12" t="s">
        <v>26</v>
      </c>
      <c r="B191" s="9" t="s">
        <v>25</v>
      </c>
    </row>
    <row r="192" spans="1:2" x14ac:dyDescent="0.35">
      <c r="A192" s="12" t="s">
        <v>1115</v>
      </c>
      <c r="B192" s="9" t="s">
        <v>709</v>
      </c>
    </row>
    <row r="193" spans="1:2" x14ac:dyDescent="0.35">
      <c r="A193" s="12" t="s">
        <v>310</v>
      </c>
      <c r="B193" s="9" t="s">
        <v>102</v>
      </c>
    </row>
    <row r="194" spans="1:2" x14ac:dyDescent="0.35">
      <c r="A194" s="12" t="s">
        <v>245</v>
      </c>
      <c r="B194" s="9" t="s">
        <v>190</v>
      </c>
    </row>
    <row r="195" spans="1:2" x14ac:dyDescent="0.35">
      <c r="A195" s="12" t="s">
        <v>781</v>
      </c>
      <c r="B195" s="9" t="s">
        <v>780</v>
      </c>
    </row>
    <row r="196" spans="1:2" x14ac:dyDescent="0.35">
      <c r="A196" s="12" t="s">
        <v>453</v>
      </c>
      <c r="B196" s="9" t="s">
        <v>598</v>
      </c>
    </row>
    <row r="197" spans="1:2" x14ac:dyDescent="0.35">
      <c r="A197" s="12" t="s">
        <v>334</v>
      </c>
      <c r="B197" s="9" t="s">
        <v>705</v>
      </c>
    </row>
    <row r="198" spans="1:2" x14ac:dyDescent="0.35">
      <c r="A198" s="12" t="s">
        <v>33</v>
      </c>
      <c r="B198" s="9" t="s">
        <v>211</v>
      </c>
    </row>
    <row r="199" spans="1:2" x14ac:dyDescent="0.35">
      <c r="A199" s="12" t="s">
        <v>702</v>
      </c>
      <c r="B199" s="9" t="s">
        <v>476</v>
      </c>
    </row>
    <row r="200" spans="1:2" x14ac:dyDescent="0.35">
      <c r="A200" s="12" t="s">
        <v>759</v>
      </c>
      <c r="B200" s="9" t="s">
        <v>479</v>
      </c>
    </row>
    <row r="201" spans="1:2" x14ac:dyDescent="0.35">
      <c r="A201" s="12" t="s">
        <v>43</v>
      </c>
      <c r="B201" s="9" t="s">
        <v>689</v>
      </c>
    </row>
    <row r="202" spans="1:2" x14ac:dyDescent="0.35">
      <c r="A202" s="12" t="s">
        <v>710</v>
      </c>
      <c r="B202" s="9" t="s">
        <v>307</v>
      </c>
    </row>
    <row r="203" spans="1:2" x14ac:dyDescent="0.35">
      <c r="A203" s="12" t="s">
        <v>4</v>
      </c>
      <c r="B203" s="9" t="s">
        <v>232</v>
      </c>
    </row>
    <row r="204" spans="1:2" x14ac:dyDescent="0.35">
      <c r="A204" s="12" t="s">
        <v>720</v>
      </c>
      <c r="B204" s="9" t="s">
        <v>375</v>
      </c>
    </row>
    <row r="205" spans="1:2" x14ac:dyDescent="0.35">
      <c r="A205" s="12" t="s">
        <v>306</v>
      </c>
      <c r="B205" s="9" t="s">
        <v>818</v>
      </c>
    </row>
    <row r="206" spans="1:2" x14ac:dyDescent="0.35">
      <c r="A206" s="12" t="s">
        <v>210</v>
      </c>
      <c r="B206" s="9" t="s">
        <v>513</v>
      </c>
    </row>
    <row r="207" spans="1:2" x14ac:dyDescent="0.35">
      <c r="A207" s="12" t="s">
        <v>1118</v>
      </c>
      <c r="B207" s="9" t="s">
        <v>750</v>
      </c>
    </row>
    <row r="208" spans="1:2" x14ac:dyDescent="0.35">
      <c r="A208" s="12" t="s">
        <v>1117</v>
      </c>
      <c r="B208" s="9" t="s">
        <v>277</v>
      </c>
    </row>
    <row r="209" spans="1:2" x14ac:dyDescent="0.35">
      <c r="A209" s="12" t="s">
        <v>99</v>
      </c>
      <c r="B209" s="9" t="s">
        <v>193</v>
      </c>
    </row>
    <row r="210" spans="1:2" x14ac:dyDescent="0.35">
      <c r="A210" s="12" t="s">
        <v>747</v>
      </c>
      <c r="B210" s="9" t="s">
        <v>417</v>
      </c>
    </row>
    <row r="211" spans="1:2" x14ac:dyDescent="0.35">
      <c r="A211" s="12" t="s">
        <v>475</v>
      </c>
      <c r="B211" s="9" t="s">
        <v>474</v>
      </c>
    </row>
    <row r="212" spans="1:2" x14ac:dyDescent="0.35">
      <c r="A212" s="12" t="s">
        <v>336</v>
      </c>
      <c r="B212" s="9" t="s">
        <v>80</v>
      </c>
    </row>
    <row r="213" spans="1:2" x14ac:dyDescent="0.35">
      <c r="A213" s="12" t="s">
        <v>494</v>
      </c>
      <c r="B213" s="9" t="s">
        <v>493</v>
      </c>
    </row>
    <row r="214" spans="1:2" x14ac:dyDescent="0.35">
      <c r="A214" s="12" t="s">
        <v>276</v>
      </c>
      <c r="B214" s="9" t="s">
        <v>355</v>
      </c>
    </row>
    <row r="215" spans="1:2" x14ac:dyDescent="0.35">
      <c r="A215" s="12" t="s">
        <v>335</v>
      </c>
      <c r="B215" s="9" t="s">
        <v>581</v>
      </c>
    </row>
    <row r="216" spans="1:2" x14ac:dyDescent="0.35">
      <c r="A216" s="12" t="s">
        <v>717</v>
      </c>
      <c r="B216" s="9" t="s">
        <v>765</v>
      </c>
    </row>
    <row r="217" spans="1:2" x14ac:dyDescent="0.35">
      <c r="A217" s="12" t="s">
        <v>341</v>
      </c>
      <c r="B217" s="9" t="s">
        <v>340</v>
      </c>
    </row>
    <row r="218" spans="1:2" x14ac:dyDescent="0.35">
      <c r="A218" s="12" t="s">
        <v>807</v>
      </c>
      <c r="B218" s="9" t="s">
        <v>154</v>
      </c>
    </row>
    <row r="219" spans="1:2" x14ac:dyDescent="0.35">
      <c r="A219" s="12" t="s">
        <v>776</v>
      </c>
      <c r="B219" s="9" t="s">
        <v>184</v>
      </c>
    </row>
    <row r="220" spans="1:2" x14ac:dyDescent="0.35">
      <c r="A220" s="12" t="s">
        <v>1119</v>
      </c>
      <c r="B220" s="9" t="s">
        <v>551</v>
      </c>
    </row>
    <row r="221" spans="1:2" x14ac:dyDescent="0.35">
      <c r="A221" s="12" t="s">
        <v>76</v>
      </c>
      <c r="B221" s="9" t="s">
        <v>69</v>
      </c>
    </row>
    <row r="222" spans="1:2" x14ac:dyDescent="0.35">
      <c r="A222" s="12" t="s">
        <v>510</v>
      </c>
      <c r="B222" s="9" t="s">
        <v>509</v>
      </c>
    </row>
    <row r="223" spans="1:2" x14ac:dyDescent="0.35">
      <c r="A223" s="12" t="s">
        <v>622</v>
      </c>
      <c r="B223" s="9" t="s">
        <v>626</v>
      </c>
    </row>
    <row r="224" spans="1:2" x14ac:dyDescent="0.35">
      <c r="A224" s="12" t="s">
        <v>332</v>
      </c>
      <c r="B224" s="9" t="s">
        <v>331</v>
      </c>
    </row>
    <row r="225" spans="1:2" x14ac:dyDescent="0.35">
      <c r="A225" s="12" t="s">
        <v>520</v>
      </c>
      <c r="B225" s="9" t="s">
        <v>61</v>
      </c>
    </row>
    <row r="226" spans="1:2" x14ac:dyDescent="0.35">
      <c r="A226" s="12" t="s">
        <v>815</v>
      </c>
      <c r="B226" s="9" t="s">
        <v>814</v>
      </c>
    </row>
    <row r="227" spans="1:2" x14ac:dyDescent="0.35">
      <c r="A227" s="12" t="s">
        <v>183</v>
      </c>
      <c r="B227" s="9" t="s">
        <v>281</v>
      </c>
    </row>
    <row r="228" spans="1:2" x14ac:dyDescent="0.35">
      <c r="A228" s="12" t="s">
        <v>611</v>
      </c>
      <c r="B228" s="9" t="s">
        <v>136</v>
      </c>
    </row>
    <row r="229" spans="1:2" x14ac:dyDescent="0.35">
      <c r="A229" s="12" t="s">
        <v>66</v>
      </c>
      <c r="B229" s="9" t="s">
        <v>580</v>
      </c>
    </row>
    <row r="230" spans="1:2" x14ac:dyDescent="0.35">
      <c r="A230" s="12" t="s">
        <v>325</v>
      </c>
      <c r="B230" s="9" t="s">
        <v>324</v>
      </c>
    </row>
    <row r="231" spans="1:2" x14ac:dyDescent="0.35">
      <c r="A231" s="12" t="s">
        <v>775</v>
      </c>
      <c r="B231" s="9" t="s">
        <v>504</v>
      </c>
    </row>
    <row r="232" spans="1:2" x14ac:dyDescent="0.35">
      <c r="A232" s="12" t="s">
        <v>653</v>
      </c>
      <c r="B232" s="9" t="s">
        <v>239</v>
      </c>
    </row>
    <row r="233" spans="1:2" x14ac:dyDescent="0.35">
      <c r="A233" s="12" t="s">
        <v>77</v>
      </c>
      <c r="B233" s="9" t="s">
        <v>694</v>
      </c>
    </row>
    <row r="234" spans="1:2" x14ac:dyDescent="0.35">
      <c r="A234" s="12" t="s">
        <v>390</v>
      </c>
      <c r="B234" s="9" t="s">
        <v>389</v>
      </c>
    </row>
    <row r="235" spans="1:2" x14ac:dyDescent="0.35">
      <c r="A235" s="12" t="s">
        <v>415</v>
      </c>
      <c r="B235" s="9" t="s">
        <v>367</v>
      </c>
    </row>
    <row r="236" spans="1:2" x14ac:dyDescent="0.35">
      <c r="A236" s="12" t="s">
        <v>397</v>
      </c>
      <c r="B236" s="9" t="s">
        <v>396</v>
      </c>
    </row>
    <row r="237" spans="1:2" x14ac:dyDescent="0.35">
      <c r="A237" s="12" t="s">
        <v>189</v>
      </c>
      <c r="B237" s="9" t="s">
        <v>188</v>
      </c>
    </row>
    <row r="238" spans="1:2" x14ac:dyDescent="0.35">
      <c r="A238" s="12" t="s">
        <v>625</v>
      </c>
      <c r="B238" s="9" t="s">
        <v>623</v>
      </c>
    </row>
    <row r="239" spans="1:2" x14ac:dyDescent="0.35">
      <c r="A239" s="12" t="s">
        <v>540</v>
      </c>
      <c r="B239" s="9" t="s">
        <v>208</v>
      </c>
    </row>
    <row r="240" spans="1:2" x14ac:dyDescent="0.35">
      <c r="A240" s="12" t="s">
        <v>30</v>
      </c>
      <c r="B240" s="9" t="s">
        <v>981</v>
      </c>
    </row>
    <row r="241" spans="1:2" x14ac:dyDescent="0.35">
      <c r="A241" s="12" t="s">
        <v>59</v>
      </c>
      <c r="B241" s="9" t="s">
        <v>360</v>
      </c>
    </row>
    <row r="242" spans="1:2" x14ac:dyDescent="0.35">
      <c r="A242" s="12" t="s">
        <v>244</v>
      </c>
      <c r="B242" s="9" t="s">
        <v>243</v>
      </c>
    </row>
    <row r="243" spans="1:2" x14ac:dyDescent="0.35">
      <c r="A243" s="12" t="s">
        <v>423</v>
      </c>
      <c r="B243" s="9" t="s">
        <v>442</v>
      </c>
    </row>
    <row r="244" spans="1:2" x14ac:dyDescent="0.35">
      <c r="A244" s="12" t="s">
        <v>305</v>
      </c>
      <c r="B244" s="9" t="s">
        <v>817</v>
      </c>
    </row>
    <row r="245" spans="1:2" x14ac:dyDescent="0.35">
      <c r="A245" s="12" t="s">
        <v>141</v>
      </c>
      <c r="B245" s="9" t="s">
        <v>131</v>
      </c>
    </row>
    <row r="246" spans="1:2" x14ac:dyDescent="0.35">
      <c r="A246" s="12" t="s">
        <v>485</v>
      </c>
      <c r="B246" s="9" t="s">
        <v>100</v>
      </c>
    </row>
    <row r="247" spans="1:2" x14ac:dyDescent="0.35">
      <c r="A247" s="12" t="s">
        <v>1125</v>
      </c>
      <c r="B247" s="9" t="s">
        <v>552</v>
      </c>
    </row>
    <row r="248" spans="1:2" x14ac:dyDescent="0.35">
      <c r="A248" s="12" t="s">
        <v>440</v>
      </c>
      <c r="B248" s="9" t="s">
        <v>468</v>
      </c>
    </row>
    <row r="249" spans="1:2" x14ac:dyDescent="0.35">
      <c r="A249" s="12" t="s">
        <v>757</v>
      </c>
      <c r="B249" s="9" t="s">
        <v>441</v>
      </c>
    </row>
    <row r="250" spans="1:2" x14ac:dyDescent="0.35">
      <c r="A250" s="12" t="s">
        <v>463</v>
      </c>
      <c r="B250" s="9" t="s">
        <v>153</v>
      </c>
    </row>
    <row r="251" spans="1:2" x14ac:dyDescent="0.35">
      <c r="A251" s="12" t="s">
        <v>727</v>
      </c>
      <c r="B251" s="9" t="s">
        <v>274</v>
      </c>
    </row>
    <row r="252" spans="1:2" x14ac:dyDescent="0.35">
      <c r="A252" s="12" t="s">
        <v>160</v>
      </c>
      <c r="B252" s="9" t="s">
        <v>159</v>
      </c>
    </row>
    <row r="253" spans="1:2" x14ac:dyDescent="0.35">
      <c r="A253" s="12" t="s">
        <v>280</v>
      </c>
      <c r="B253" s="9" t="s">
        <v>279</v>
      </c>
    </row>
    <row r="254" spans="1:2" x14ac:dyDescent="0.35">
      <c r="A254" s="12" t="s">
        <v>481</v>
      </c>
      <c r="B254" s="9" t="s">
        <v>343</v>
      </c>
    </row>
    <row r="255" spans="1:2" x14ac:dyDescent="0.35">
      <c r="A255" s="12" t="s">
        <v>104</v>
      </c>
      <c r="B255" s="9" t="s">
        <v>103</v>
      </c>
    </row>
    <row r="256" spans="1:2" x14ac:dyDescent="0.35">
      <c r="A256" s="12" t="s">
        <v>418</v>
      </c>
      <c r="B256" s="9" t="s">
        <v>734</v>
      </c>
    </row>
    <row r="257" spans="1:2" x14ac:dyDescent="0.35">
      <c r="A257" s="12" t="s">
        <v>260</v>
      </c>
      <c r="B257" s="9" t="s">
        <v>230</v>
      </c>
    </row>
    <row r="258" spans="1:2" x14ac:dyDescent="0.35">
      <c r="A258" s="12" t="s">
        <v>823</v>
      </c>
      <c r="B258" s="9" t="s">
        <v>639</v>
      </c>
    </row>
    <row r="259" spans="1:2" x14ac:dyDescent="0.35">
      <c r="A259" s="12" t="s">
        <v>455</v>
      </c>
      <c r="B259" s="9" t="s">
        <v>556</v>
      </c>
    </row>
    <row r="260" spans="1:2" x14ac:dyDescent="0.35">
      <c r="A260" s="12" t="s">
        <v>666</v>
      </c>
      <c r="B260" s="9" t="s">
        <v>665</v>
      </c>
    </row>
    <row r="261" spans="1:2" x14ac:dyDescent="0.35">
      <c r="A261" s="12" t="s">
        <v>348</v>
      </c>
      <c r="B261" s="9" t="s">
        <v>351</v>
      </c>
    </row>
    <row r="262" spans="1:2" x14ac:dyDescent="0.35">
      <c r="A262" s="12" t="s">
        <v>252</v>
      </c>
      <c r="B262" s="9" t="s">
        <v>249</v>
      </c>
    </row>
    <row r="263" spans="1:2" x14ac:dyDescent="0.35">
      <c r="A263" s="12" t="s">
        <v>411</v>
      </c>
      <c r="B263" s="9" t="s">
        <v>410</v>
      </c>
    </row>
    <row r="264" spans="1:2" x14ac:dyDescent="0.35">
      <c r="A264" s="12" t="s">
        <v>17</v>
      </c>
      <c r="B264" s="9" t="s">
        <v>945</v>
      </c>
    </row>
    <row r="265" spans="1:2" x14ac:dyDescent="0.35">
      <c r="A265" s="12" t="s">
        <v>180</v>
      </c>
      <c r="B265" s="9" t="s">
        <v>527</v>
      </c>
    </row>
    <row r="266" spans="1:2" x14ac:dyDescent="0.35">
      <c r="A266" s="12" t="s">
        <v>825</v>
      </c>
      <c r="B266" s="9" t="s">
        <v>824</v>
      </c>
    </row>
    <row r="267" spans="1:2" x14ac:dyDescent="0.35">
      <c r="A267" s="12" t="s">
        <v>294</v>
      </c>
      <c r="B267" s="9" t="s">
        <v>49</v>
      </c>
    </row>
    <row r="268" spans="1:2" x14ac:dyDescent="0.35">
      <c r="A268" s="12" t="s">
        <v>554</v>
      </c>
      <c r="B268" s="9" t="s">
        <v>143</v>
      </c>
    </row>
    <row r="269" spans="1:2" x14ac:dyDescent="0.35">
      <c r="A269" s="12" t="s">
        <v>749</v>
      </c>
      <c r="B269" s="9" t="s">
        <v>748</v>
      </c>
    </row>
    <row r="270" spans="1:2" x14ac:dyDescent="0.35">
      <c r="A270" s="12" t="s">
        <v>316</v>
      </c>
      <c r="B270" s="9" t="s">
        <v>315</v>
      </c>
    </row>
    <row r="271" spans="1:2" x14ac:dyDescent="0.35">
      <c r="A271" s="12" t="s">
        <v>567</v>
      </c>
      <c r="B271" s="9" t="s">
        <v>566</v>
      </c>
    </row>
    <row r="272" spans="1:2" x14ac:dyDescent="0.35">
      <c r="A272" s="12" t="s">
        <v>420</v>
      </c>
      <c r="B272" s="9" t="s">
        <v>419</v>
      </c>
    </row>
    <row r="273" spans="1:2" x14ac:dyDescent="0.35">
      <c r="A273" s="12" t="s">
        <v>117</v>
      </c>
      <c r="B273" s="9" t="s">
        <v>223</v>
      </c>
    </row>
    <row r="274" spans="1:2" x14ac:dyDescent="0.35">
      <c r="A274" s="12" t="s">
        <v>828</v>
      </c>
      <c r="B274" s="9" t="s">
        <v>409</v>
      </c>
    </row>
    <row r="275" spans="1:2" x14ac:dyDescent="0.35">
      <c r="A275" s="12" t="s">
        <v>803</v>
      </c>
      <c r="B275" s="9" t="s">
        <v>633</v>
      </c>
    </row>
    <row r="276" spans="1:2" x14ac:dyDescent="0.35">
      <c r="A276" s="12" t="s">
        <v>113</v>
      </c>
      <c r="B276" s="9" t="s">
        <v>408</v>
      </c>
    </row>
    <row r="277" spans="1:2" x14ac:dyDescent="0.35">
      <c r="A277" s="12" t="s">
        <v>801</v>
      </c>
      <c r="B277" s="9" t="s">
        <v>549</v>
      </c>
    </row>
    <row r="278" spans="1:2" x14ac:dyDescent="0.35">
      <c r="A278" s="12" t="s">
        <v>214</v>
      </c>
      <c r="B278" s="9" t="s">
        <v>443</v>
      </c>
    </row>
    <row r="279" spans="1:2" x14ac:dyDescent="0.35">
      <c r="A279" s="12" t="s">
        <v>370</v>
      </c>
      <c r="B279" s="9" t="s">
        <v>516</v>
      </c>
    </row>
    <row r="280" spans="1:2" x14ac:dyDescent="0.35">
      <c r="A280" s="12" t="s">
        <v>302</v>
      </c>
      <c r="B280" s="9" t="s">
        <v>393</v>
      </c>
    </row>
    <row r="281" spans="1:2" x14ac:dyDescent="0.35">
      <c r="A281" s="12" t="s">
        <v>2</v>
      </c>
      <c r="B281" s="9" t="s">
        <v>359</v>
      </c>
    </row>
    <row r="282" spans="1:2" x14ac:dyDescent="0.35">
      <c r="A282" s="12" t="s">
        <v>938</v>
      </c>
      <c r="B282" s="9" t="s">
        <v>182</v>
      </c>
    </row>
    <row r="283" spans="1:2" x14ac:dyDescent="0.35">
      <c r="A283" s="12" t="s">
        <v>1128</v>
      </c>
      <c r="B283" s="9" t="s">
        <v>432</v>
      </c>
    </row>
    <row r="284" spans="1:2" x14ac:dyDescent="0.35">
      <c r="A284" s="12" t="s">
        <v>497</v>
      </c>
      <c r="B284" s="9" t="s">
        <v>652</v>
      </c>
    </row>
    <row r="285" spans="1:2" x14ac:dyDescent="0.35">
      <c r="A285" s="12" t="s">
        <v>806</v>
      </c>
      <c r="B285" s="9" t="s">
        <v>632</v>
      </c>
    </row>
    <row r="286" spans="1:2" x14ac:dyDescent="0.35">
      <c r="A286" s="12" t="s">
        <v>532</v>
      </c>
      <c r="B286" s="9" t="s">
        <v>267</v>
      </c>
    </row>
    <row r="287" spans="1:2" x14ac:dyDescent="0.35">
      <c r="A287" s="12" t="s">
        <v>833</v>
      </c>
      <c r="B287" s="9" t="s">
        <v>832</v>
      </c>
    </row>
    <row r="288" spans="1:2" x14ac:dyDescent="0.35">
      <c r="A288" s="12" t="s">
        <v>229</v>
      </c>
      <c r="B288" s="9" t="s">
        <v>228</v>
      </c>
    </row>
    <row r="289" spans="1:2" x14ac:dyDescent="0.35">
      <c r="A289" s="12" t="s">
        <v>605</v>
      </c>
      <c r="B289" s="9" t="s">
        <v>425</v>
      </c>
    </row>
    <row r="290" spans="1:2" x14ac:dyDescent="0.35">
      <c r="A290" s="12" t="s">
        <v>491</v>
      </c>
      <c r="B290" s="9" t="s">
        <v>687</v>
      </c>
    </row>
    <row r="291" spans="1:2" x14ac:dyDescent="0.35">
      <c r="A291" s="12" t="s">
        <v>366</v>
      </c>
      <c r="B291" s="9" t="s">
        <v>365</v>
      </c>
    </row>
    <row r="292" spans="1:2" x14ac:dyDescent="0.35">
      <c r="A292" s="12" t="s">
        <v>7</v>
      </c>
      <c r="B292" s="9" t="s">
        <v>6</v>
      </c>
    </row>
    <row r="293" spans="1:2" x14ac:dyDescent="0.35">
      <c r="A293" s="12" t="s">
        <v>541</v>
      </c>
      <c r="B293" s="9" t="s">
        <v>585</v>
      </c>
    </row>
    <row r="294" spans="1:2" x14ac:dyDescent="0.35">
      <c r="A294" s="12" t="s">
        <v>700</v>
      </c>
      <c r="B294" s="9" t="s">
        <v>699</v>
      </c>
    </row>
    <row r="295" spans="1:2" x14ac:dyDescent="0.35">
      <c r="A295" s="12" t="s">
        <v>936</v>
      </c>
      <c r="B295" s="9" t="s">
        <v>682</v>
      </c>
    </row>
    <row r="296" spans="1:2" x14ac:dyDescent="0.35">
      <c r="A296" s="12" t="s">
        <v>297</v>
      </c>
      <c r="B296" s="9" t="s">
        <v>644</v>
      </c>
    </row>
    <row r="297" spans="1:2" x14ac:dyDescent="0.35">
      <c r="A297" s="12" t="s">
        <v>242</v>
      </c>
      <c r="B297" s="9" t="s">
        <v>241</v>
      </c>
    </row>
    <row r="298" spans="1:2" x14ac:dyDescent="0.35">
      <c r="A298" s="12" t="s">
        <v>850</v>
      </c>
      <c r="B298" s="9" t="s">
        <v>350</v>
      </c>
    </row>
    <row r="299" spans="1:2" x14ac:dyDescent="0.35">
      <c r="A299" s="12" t="s">
        <v>462</v>
      </c>
      <c r="B299" s="9" t="s">
        <v>543</v>
      </c>
    </row>
    <row r="300" spans="1:2" x14ac:dyDescent="0.35">
      <c r="A300" s="12" t="s">
        <v>517</v>
      </c>
      <c r="B300" s="9" t="s">
        <v>503</v>
      </c>
    </row>
    <row r="301" spans="1:2" x14ac:dyDescent="0.35">
      <c r="A301" s="12" t="s">
        <v>638</v>
      </c>
      <c r="B301" s="9" t="s">
        <v>629</v>
      </c>
    </row>
    <row r="302" spans="1:2" x14ac:dyDescent="0.35">
      <c r="A302" s="12" t="s">
        <v>495</v>
      </c>
      <c r="B302" s="9" t="s">
        <v>95</v>
      </c>
    </row>
    <row r="303" spans="1:2" x14ac:dyDescent="0.35">
      <c r="A303" s="12" t="s">
        <v>8</v>
      </c>
      <c r="B303" s="9" t="s">
        <v>196</v>
      </c>
    </row>
    <row r="304" spans="1:2" x14ac:dyDescent="0.35">
      <c r="A304" s="12" t="s">
        <v>596</v>
      </c>
      <c r="B304" s="9" t="s">
        <v>384</v>
      </c>
    </row>
    <row r="305" spans="1:2" x14ac:dyDescent="0.35">
      <c r="A305" s="12" t="s">
        <v>740</v>
      </c>
      <c r="B305" s="9" t="s">
        <v>739</v>
      </c>
    </row>
    <row r="306" spans="1:2" x14ac:dyDescent="0.35">
      <c r="A306" s="12" t="s">
        <v>854</v>
      </c>
      <c r="B306" s="9" t="s">
        <v>813</v>
      </c>
    </row>
    <row r="307" spans="1:2" x14ac:dyDescent="0.35">
      <c r="A307" s="12" t="s">
        <v>565</v>
      </c>
      <c r="B307" s="9" t="s">
        <v>564</v>
      </c>
    </row>
    <row r="308" spans="1:2" x14ac:dyDescent="0.35">
      <c r="A308" s="12" t="s">
        <v>681</v>
      </c>
      <c r="B308" s="9" t="s">
        <v>680</v>
      </c>
    </row>
    <row r="309" spans="1:2" x14ac:dyDescent="0.35">
      <c r="A309" s="12" t="s">
        <v>1129</v>
      </c>
      <c r="B309" s="9" t="s">
        <v>685</v>
      </c>
    </row>
    <row r="310" spans="1:2" x14ac:dyDescent="0.35">
      <c r="A310" s="12" t="s">
        <v>178</v>
      </c>
      <c r="B310" s="9" t="s">
        <v>177</v>
      </c>
    </row>
    <row r="311" spans="1:2" x14ac:dyDescent="0.35">
      <c r="A311" s="12" t="s">
        <v>882</v>
      </c>
      <c r="B311" s="9" t="s">
        <v>831</v>
      </c>
    </row>
    <row r="312" spans="1:2" x14ac:dyDescent="0.35">
      <c r="A312" s="12" t="s">
        <v>161</v>
      </c>
      <c r="B312" s="9" t="s">
        <v>272</v>
      </c>
    </row>
    <row r="313" spans="1:2" x14ac:dyDescent="0.35">
      <c r="A313" s="12" t="s">
        <v>804</v>
      </c>
      <c r="B313" s="9" t="s">
        <v>634</v>
      </c>
    </row>
    <row r="314" spans="1:2" x14ac:dyDescent="0.35">
      <c r="A314" s="12" t="s">
        <v>445</v>
      </c>
      <c r="B314" s="9" t="s">
        <v>444</v>
      </c>
    </row>
    <row r="315" spans="1:2" x14ac:dyDescent="0.35">
      <c r="A315" s="12" t="s">
        <v>12</v>
      </c>
      <c r="B315" s="9" t="s">
        <v>11</v>
      </c>
    </row>
    <row r="316" spans="1:2" x14ac:dyDescent="0.35">
      <c r="A316" s="12" t="s">
        <v>937</v>
      </c>
      <c r="B316" s="9" t="s">
        <v>640</v>
      </c>
    </row>
    <row r="317" spans="1:2" x14ac:dyDescent="0.35">
      <c r="A317" s="12" t="s">
        <v>181</v>
      </c>
      <c r="B317" s="9" t="s">
        <v>518</v>
      </c>
    </row>
    <row r="318" spans="1:2" x14ac:dyDescent="0.35">
      <c r="A318" s="12" t="s">
        <v>561</v>
      </c>
      <c r="B318" s="9" t="s">
        <v>560</v>
      </c>
    </row>
    <row r="319" spans="1:2" x14ac:dyDescent="0.35">
      <c r="A319" s="12" t="s">
        <v>590</v>
      </c>
      <c r="B319" s="9" t="s">
        <v>674</v>
      </c>
    </row>
    <row r="320" spans="1:2" x14ac:dyDescent="0.35">
      <c r="A320" s="12" t="s">
        <v>139</v>
      </c>
      <c r="B320" s="9" t="s">
        <v>138</v>
      </c>
    </row>
    <row r="321" spans="1:2" x14ac:dyDescent="0.35">
      <c r="A321" s="12" t="s">
        <v>98</v>
      </c>
      <c r="B321" s="9" t="s">
        <v>97</v>
      </c>
    </row>
    <row r="322" spans="1:2" x14ac:dyDescent="0.35">
      <c r="A322" s="12" t="s">
        <v>437</v>
      </c>
      <c r="B322" s="9" t="s">
        <v>805</v>
      </c>
    </row>
    <row r="323" spans="1:2" x14ac:dyDescent="0.35">
      <c r="A323" s="12" t="s">
        <v>876</v>
      </c>
      <c r="B323" s="9" t="s">
        <v>875</v>
      </c>
    </row>
    <row r="324" spans="1:2" x14ac:dyDescent="0.35">
      <c r="A324" s="12" t="s">
        <v>809</v>
      </c>
      <c r="B324" s="9" t="s">
        <v>155</v>
      </c>
    </row>
    <row r="325" spans="1:2" x14ac:dyDescent="0.35">
      <c r="A325" s="12" t="s">
        <v>820</v>
      </c>
      <c r="B325" s="9" t="s">
        <v>819</v>
      </c>
    </row>
    <row r="326" spans="1:2" x14ac:dyDescent="0.35">
      <c r="A326" s="12" t="s">
        <v>802</v>
      </c>
      <c r="B326" s="9" t="s">
        <v>631</v>
      </c>
    </row>
    <row r="327" spans="1:2" x14ac:dyDescent="0.35">
      <c r="A327" s="12" t="s">
        <v>930</v>
      </c>
      <c r="B327" s="9" t="s">
        <v>929</v>
      </c>
    </row>
    <row r="328" spans="1:2" x14ac:dyDescent="0.35">
      <c r="A328" s="12" t="s">
        <v>811</v>
      </c>
      <c r="B328" s="9" t="s">
        <v>630</v>
      </c>
    </row>
    <row r="329" spans="1:2" x14ac:dyDescent="0.35">
      <c r="A329" s="12" t="s">
        <v>637</v>
      </c>
      <c r="B329" s="9" t="s">
        <v>628</v>
      </c>
    </row>
    <row r="330" spans="1:2" x14ac:dyDescent="0.35">
      <c r="A330" s="12" t="s">
        <v>874</v>
      </c>
      <c r="B330" s="9" t="s">
        <v>1052</v>
      </c>
    </row>
    <row r="331" spans="1:2" x14ac:dyDescent="0.35">
      <c r="A331" s="12" t="s">
        <v>879</v>
      </c>
      <c r="B331" s="9" t="s">
        <v>816</v>
      </c>
    </row>
    <row r="332" spans="1:2" x14ac:dyDescent="0.35">
      <c r="A332" s="12" t="s">
        <v>841</v>
      </c>
      <c r="B332" s="9" t="s">
        <v>490</v>
      </c>
    </row>
    <row r="333" spans="1:2" x14ac:dyDescent="0.35">
      <c r="A333" s="12" t="s">
        <v>810</v>
      </c>
      <c r="B333" s="9" t="s">
        <v>545</v>
      </c>
    </row>
    <row r="334" spans="1:2" x14ac:dyDescent="0.35">
      <c r="A334" s="12" t="s">
        <v>148</v>
      </c>
      <c r="B334" s="9" t="s">
        <v>147</v>
      </c>
    </row>
    <row r="335" spans="1:2" x14ac:dyDescent="0.35">
      <c r="A335" s="12" t="s">
        <v>933</v>
      </c>
      <c r="B335" s="9" t="s">
        <v>146</v>
      </c>
    </row>
    <row r="336" spans="1:2" x14ac:dyDescent="0.35">
      <c r="A336" s="12" t="s">
        <v>746</v>
      </c>
      <c r="B336" s="9" t="s">
        <v>745</v>
      </c>
    </row>
    <row r="337" spans="1:2" x14ac:dyDescent="0.35">
      <c r="A337" s="12" t="s">
        <v>9</v>
      </c>
      <c r="B337" s="9" t="s">
        <v>91</v>
      </c>
    </row>
    <row r="338" spans="1:2" x14ac:dyDescent="0.35">
      <c r="A338" s="12" t="s">
        <v>983</v>
      </c>
      <c r="B338" s="9" t="s">
        <v>982</v>
      </c>
    </row>
    <row r="339" spans="1:2" x14ac:dyDescent="0.35">
      <c r="A339" s="12" t="s">
        <v>663</v>
      </c>
      <c r="B339" s="9" t="s">
        <v>662</v>
      </c>
    </row>
    <row r="340" spans="1:2" x14ac:dyDescent="0.35">
      <c r="A340" s="12" t="s">
        <v>878</v>
      </c>
      <c r="B340" s="9" t="s">
        <v>877</v>
      </c>
    </row>
    <row r="341" spans="1:2" x14ac:dyDescent="0.35">
      <c r="A341" s="12" t="s">
        <v>941</v>
      </c>
      <c r="B341" s="9" t="s">
        <v>940</v>
      </c>
    </row>
    <row r="342" spans="1:2" x14ac:dyDescent="0.35">
      <c r="A342" s="12" t="s">
        <v>172</v>
      </c>
      <c r="B342" s="9" t="s">
        <v>171</v>
      </c>
    </row>
    <row r="343" spans="1:2" x14ac:dyDescent="0.35">
      <c r="A343" s="12" t="s">
        <v>964</v>
      </c>
      <c r="B343" s="9" t="s">
        <v>963</v>
      </c>
    </row>
    <row r="344" spans="1:2" x14ac:dyDescent="0.35">
      <c r="A344" s="12" t="s">
        <v>362</v>
      </c>
      <c r="B344" s="9" t="s">
        <v>690</v>
      </c>
    </row>
    <row r="345" spans="1:2" x14ac:dyDescent="0.35">
      <c r="A345" s="12" t="s">
        <v>615</v>
      </c>
      <c r="B345" s="9" t="s">
        <v>47</v>
      </c>
    </row>
    <row r="346" spans="1:2" x14ac:dyDescent="0.35">
      <c r="A346" s="12" t="s">
        <v>985</v>
      </c>
      <c r="B346" s="9" t="s">
        <v>984</v>
      </c>
    </row>
    <row r="347" spans="1:2" x14ac:dyDescent="0.35">
      <c r="A347" s="12" t="s">
        <v>955</v>
      </c>
      <c r="B347" s="9" t="s">
        <v>954</v>
      </c>
    </row>
    <row r="348" spans="1:2" x14ac:dyDescent="0.35">
      <c r="A348" s="12" t="s">
        <v>657</v>
      </c>
      <c r="B348" s="9" t="s">
        <v>448</v>
      </c>
    </row>
    <row r="349" spans="1:2" x14ac:dyDescent="0.35">
      <c r="A349" s="12" t="s">
        <v>361</v>
      </c>
      <c r="B349" s="9" t="s">
        <v>421</v>
      </c>
    </row>
    <row r="350" spans="1:2" x14ac:dyDescent="0.35">
      <c r="A350" s="12" t="s">
        <v>14</v>
      </c>
      <c r="B350" s="9" t="s">
        <v>13</v>
      </c>
    </row>
    <row r="351" spans="1:2" x14ac:dyDescent="0.35">
      <c r="A351" s="12" t="s">
        <v>978</v>
      </c>
      <c r="B351" s="9" t="s">
        <v>772</v>
      </c>
    </row>
    <row r="352" spans="1:2" x14ac:dyDescent="0.35">
      <c r="A352" s="12" t="s">
        <v>16</v>
      </c>
      <c r="B352" s="9" t="s">
        <v>15</v>
      </c>
    </row>
    <row r="353" spans="1:2" x14ac:dyDescent="0.35">
      <c r="A353" s="12" t="s">
        <v>822</v>
      </c>
      <c r="B353" s="9" t="s">
        <v>821</v>
      </c>
    </row>
    <row r="354" spans="1:2" x14ac:dyDescent="0.35">
      <c r="A354" s="12" t="s">
        <v>986</v>
      </c>
      <c r="B354" s="9" t="s">
        <v>10</v>
      </c>
    </row>
    <row r="355" spans="1:2" x14ac:dyDescent="0.35">
      <c r="A355" s="12" t="s">
        <v>990</v>
      </c>
      <c r="B355" s="9" t="s">
        <v>372</v>
      </c>
    </row>
    <row r="356" spans="1:2" x14ac:dyDescent="0.35">
      <c r="A356" s="12" t="s">
        <v>668</v>
      </c>
      <c r="B356" s="9" t="s">
        <v>667</v>
      </c>
    </row>
    <row r="357" spans="1:2" x14ac:dyDescent="0.35">
      <c r="A357" s="12" t="s">
        <v>436</v>
      </c>
      <c r="B357" s="9" t="s">
        <v>435</v>
      </c>
    </row>
    <row r="358" spans="1:2" x14ac:dyDescent="0.35">
      <c r="A358" s="12" t="s">
        <v>257</v>
      </c>
      <c r="B358" s="9" t="s">
        <v>256</v>
      </c>
    </row>
    <row r="359" spans="1:2" x14ac:dyDescent="0.35">
      <c r="A359" s="12" t="s">
        <v>991</v>
      </c>
      <c r="B359" s="9" t="s">
        <v>31</v>
      </c>
    </row>
    <row r="360" spans="1:2" x14ac:dyDescent="0.35">
      <c r="A360" s="12" t="s">
        <v>48</v>
      </c>
      <c r="B360" s="9" t="s">
        <v>5</v>
      </c>
    </row>
    <row r="361" spans="1:2" x14ac:dyDescent="0.35">
      <c r="A361" s="12" t="s">
        <v>174</v>
      </c>
      <c r="B361" s="9" t="s">
        <v>173</v>
      </c>
    </row>
    <row r="362" spans="1:2" x14ac:dyDescent="0.35">
      <c r="A362" s="12" t="s">
        <v>852</v>
      </c>
      <c r="B362" s="9" t="s">
        <v>851</v>
      </c>
    </row>
    <row r="363" spans="1:2" x14ac:dyDescent="0.35">
      <c r="A363" s="12" t="s">
        <v>1024</v>
      </c>
      <c r="B363" s="9" t="s">
        <v>1023</v>
      </c>
    </row>
    <row r="364" spans="1:2" x14ac:dyDescent="0.35">
      <c r="A364" s="12" t="s">
        <v>655</v>
      </c>
      <c r="B364" s="9" t="s">
        <v>376</v>
      </c>
    </row>
    <row r="365" spans="1:2" x14ac:dyDescent="0.35">
      <c r="A365" s="12" t="s">
        <v>925</v>
      </c>
      <c r="B365" s="9" t="s">
        <v>924</v>
      </c>
    </row>
    <row r="366" spans="1:2" x14ac:dyDescent="0.35">
      <c r="A366" s="12" t="s">
        <v>826</v>
      </c>
      <c r="B366" s="9" t="s">
        <v>1212</v>
      </c>
    </row>
    <row r="367" spans="1:2" x14ac:dyDescent="0.35">
      <c r="A367" s="12" t="s">
        <v>996</v>
      </c>
      <c r="B367" s="9" t="s">
        <v>995</v>
      </c>
    </row>
    <row r="368" spans="1:2" x14ac:dyDescent="0.35">
      <c r="A368" s="12" t="s">
        <v>176</v>
      </c>
      <c r="B368" s="9" t="s">
        <v>175</v>
      </c>
    </row>
    <row r="369" spans="1:2" x14ac:dyDescent="0.35">
      <c r="A369" s="12" t="s">
        <v>51</v>
      </c>
      <c r="B369" s="9" t="s">
        <v>50</v>
      </c>
    </row>
    <row r="370" spans="1:2" x14ac:dyDescent="0.35">
      <c r="A370" s="12" t="s">
        <v>999</v>
      </c>
      <c r="B370" s="9" t="s">
        <v>994</v>
      </c>
    </row>
    <row r="371" spans="1:2" x14ac:dyDescent="0.35">
      <c r="A371" s="12" t="s">
        <v>1033</v>
      </c>
      <c r="B371" s="9" t="s">
        <v>542</v>
      </c>
    </row>
    <row r="372" spans="1:2" x14ac:dyDescent="0.35">
      <c r="A372" s="12" t="s">
        <v>800</v>
      </c>
      <c r="B372" s="9" t="s">
        <v>548</v>
      </c>
    </row>
    <row r="373" spans="1:2" x14ac:dyDescent="0.35">
      <c r="A373" s="12" t="s">
        <v>927</v>
      </c>
      <c r="B373" s="9" t="s">
        <v>926</v>
      </c>
    </row>
    <row r="374" spans="1:2" x14ac:dyDescent="0.35">
      <c r="A374" s="12" t="s">
        <v>935</v>
      </c>
      <c r="B374" s="9" t="s">
        <v>539</v>
      </c>
    </row>
    <row r="375" spans="1:2" x14ac:dyDescent="0.35">
      <c r="A375" s="12" t="s">
        <v>1000</v>
      </c>
      <c r="B375" s="9" t="s">
        <v>617</v>
      </c>
    </row>
    <row r="376" spans="1:2" x14ac:dyDescent="0.35">
      <c r="A376" s="12" t="s">
        <v>835</v>
      </c>
      <c r="B376" s="9" t="s">
        <v>834</v>
      </c>
    </row>
    <row r="377" spans="1:2" x14ac:dyDescent="0.35">
      <c r="A377" s="12" t="s">
        <v>836</v>
      </c>
      <c r="B377" s="9" t="s">
        <v>296</v>
      </c>
    </row>
    <row r="378" spans="1:2" x14ac:dyDescent="0.35">
      <c r="A378" s="12" t="s">
        <v>1003</v>
      </c>
      <c r="B378" s="9" t="s">
        <v>1002</v>
      </c>
    </row>
    <row r="379" spans="1:2" x14ac:dyDescent="0.35">
      <c r="A379" s="12" t="s">
        <v>1035</v>
      </c>
      <c r="B379" s="9" t="s">
        <v>1034</v>
      </c>
    </row>
    <row r="380" spans="1:2" x14ac:dyDescent="0.35">
      <c r="A380" s="12" t="s">
        <v>946</v>
      </c>
      <c r="B380" s="9" t="s">
        <v>635</v>
      </c>
    </row>
    <row r="381" spans="1:2" x14ac:dyDescent="0.35">
      <c r="A381" s="12" t="s">
        <v>1020</v>
      </c>
      <c r="B381" s="9" t="s">
        <v>1017</v>
      </c>
    </row>
    <row r="382" spans="1:2" x14ac:dyDescent="0.35">
      <c r="A382" s="12" t="s">
        <v>939</v>
      </c>
      <c r="B382" s="9" t="s">
        <v>891</v>
      </c>
    </row>
    <row r="383" spans="1:2" x14ac:dyDescent="0.35">
      <c r="A383" s="12" t="s">
        <v>1006</v>
      </c>
      <c r="B383" s="9" t="s">
        <v>1005</v>
      </c>
    </row>
    <row r="384" spans="1:2" x14ac:dyDescent="0.35">
      <c r="A384" s="12" t="s">
        <v>569</v>
      </c>
      <c r="B384" s="9" t="s">
        <v>568</v>
      </c>
    </row>
    <row r="385" spans="1:2" x14ac:dyDescent="0.35">
      <c r="A385" s="12" t="s">
        <v>845</v>
      </c>
      <c r="B385" s="9" t="s">
        <v>844</v>
      </c>
    </row>
    <row r="386" spans="1:2" x14ac:dyDescent="0.35">
      <c r="A386" s="12" t="s">
        <v>1032</v>
      </c>
      <c r="B386" s="9" t="s">
        <v>1022</v>
      </c>
    </row>
    <row r="387" spans="1:2" x14ac:dyDescent="0.35">
      <c r="A387" s="12" t="s">
        <v>1038</v>
      </c>
      <c r="B387" s="9" t="s">
        <v>1037</v>
      </c>
    </row>
    <row r="388" spans="1:2" x14ac:dyDescent="0.35">
      <c r="A388" s="12" t="s">
        <v>949</v>
      </c>
      <c r="B388" s="9" t="s">
        <v>948</v>
      </c>
    </row>
    <row r="389" spans="1:2" x14ac:dyDescent="0.35">
      <c r="A389" s="12" t="s">
        <v>1040</v>
      </c>
      <c r="B389" s="9" t="s">
        <v>1039</v>
      </c>
    </row>
    <row r="390" spans="1:2" x14ac:dyDescent="0.35">
      <c r="A390" s="12" t="s">
        <v>240</v>
      </c>
      <c r="B390" s="9" t="s">
        <v>88</v>
      </c>
    </row>
    <row r="391" spans="1:2" x14ac:dyDescent="0.35">
      <c r="A391" s="12" t="s">
        <v>1011</v>
      </c>
      <c r="B391" s="9" t="s">
        <v>1007</v>
      </c>
    </row>
    <row r="392" spans="1:2" x14ac:dyDescent="0.35">
      <c r="A392" s="12" t="s">
        <v>342</v>
      </c>
      <c r="B392" s="9" t="s">
        <v>398</v>
      </c>
    </row>
    <row r="393" spans="1:2" x14ac:dyDescent="0.35">
      <c r="A393" s="12" t="s">
        <v>430</v>
      </c>
      <c r="B393" s="9" t="s">
        <v>429</v>
      </c>
    </row>
    <row r="394" spans="1:2" x14ac:dyDescent="0.35">
      <c r="A394" s="12" t="s">
        <v>896</v>
      </c>
      <c r="B394" s="9" t="s">
        <v>895</v>
      </c>
    </row>
    <row r="395" spans="1:2" x14ac:dyDescent="0.35">
      <c r="A395" s="12" t="s">
        <v>1041</v>
      </c>
      <c r="B395" s="9" t="s">
        <v>1036</v>
      </c>
    </row>
    <row r="396" spans="1:2" x14ac:dyDescent="0.35">
      <c r="A396" s="12" t="s">
        <v>972</v>
      </c>
      <c r="B396" s="9" t="s">
        <v>971</v>
      </c>
    </row>
    <row r="397" spans="1:2" x14ac:dyDescent="0.35">
      <c r="A397" s="12" t="s">
        <v>911</v>
      </c>
      <c r="B397" s="9" t="s">
        <v>910</v>
      </c>
    </row>
    <row r="398" spans="1:2" x14ac:dyDescent="0.35">
      <c r="A398" s="12" t="s">
        <v>881</v>
      </c>
      <c r="B398" s="9" t="s">
        <v>880</v>
      </c>
    </row>
    <row r="399" spans="1:2" x14ac:dyDescent="0.35">
      <c r="A399" s="12" t="s">
        <v>1019</v>
      </c>
      <c r="B399" s="9" t="s">
        <v>1018</v>
      </c>
    </row>
    <row r="400" spans="1:2" x14ac:dyDescent="0.35">
      <c r="A400" s="12" t="s">
        <v>863</v>
      </c>
      <c r="B400" s="9" t="s">
        <v>862</v>
      </c>
    </row>
    <row r="401" spans="1:2" x14ac:dyDescent="0.35">
      <c r="A401" s="12" t="s">
        <v>447</v>
      </c>
      <c r="B401" s="9" t="s">
        <v>446</v>
      </c>
    </row>
    <row r="402" spans="1:2" x14ac:dyDescent="0.35">
      <c r="A402" s="12" t="s">
        <v>903</v>
      </c>
      <c r="B402" s="9" t="s">
        <v>902</v>
      </c>
    </row>
    <row r="403" spans="1:2" x14ac:dyDescent="0.35">
      <c r="A403" s="12" t="s">
        <v>1045</v>
      </c>
      <c r="B403" s="9" t="s">
        <v>1044</v>
      </c>
    </row>
    <row r="404" spans="1:2" x14ac:dyDescent="0.35">
      <c r="A404" s="12" t="s">
        <v>847</v>
      </c>
      <c r="B404" s="9" t="s">
        <v>846</v>
      </c>
    </row>
    <row r="405" spans="1:2" x14ac:dyDescent="0.35">
      <c r="A405" s="12" t="s">
        <v>913</v>
      </c>
      <c r="B405" s="9" t="s">
        <v>912</v>
      </c>
    </row>
    <row r="406" spans="1:2" x14ac:dyDescent="0.35">
      <c r="A406" s="12" t="s">
        <v>323</v>
      </c>
      <c r="B406" s="9" t="s">
        <v>377</v>
      </c>
    </row>
    <row r="407" spans="1:2" x14ac:dyDescent="0.35">
      <c r="A407" s="12" t="s">
        <v>1028</v>
      </c>
      <c r="B407" s="9" t="s">
        <v>1027</v>
      </c>
    </row>
    <row r="408" spans="1:2" x14ac:dyDescent="0.35">
      <c r="A408" s="12" t="s">
        <v>883</v>
      </c>
      <c r="B408" s="9" t="s">
        <v>840</v>
      </c>
    </row>
    <row r="409" spans="1:2" x14ac:dyDescent="0.35">
      <c r="A409" s="12" t="s">
        <v>869</v>
      </c>
      <c r="B409" s="9" t="s">
        <v>868</v>
      </c>
    </row>
    <row r="410" spans="1:2" x14ac:dyDescent="0.35">
      <c r="A410" s="12" t="s">
        <v>905</v>
      </c>
      <c r="B410" s="9" t="s">
        <v>904</v>
      </c>
    </row>
    <row r="411" spans="1:2" x14ac:dyDescent="0.35">
      <c r="A411" s="12" t="s">
        <v>893</v>
      </c>
      <c r="B411" s="9" t="s">
        <v>892</v>
      </c>
    </row>
    <row r="412" spans="1:2" x14ac:dyDescent="0.35">
      <c r="A412" s="12" t="s">
        <v>1130</v>
      </c>
      <c r="B412" s="9" t="s">
        <v>987</v>
      </c>
    </row>
    <row r="413" spans="1:2" x14ac:dyDescent="0.35">
      <c r="A413" s="12" t="s">
        <v>915</v>
      </c>
      <c r="B413" s="9" t="s">
        <v>914</v>
      </c>
    </row>
    <row r="414" spans="1:2" x14ac:dyDescent="0.35">
      <c r="A414" s="12" t="s">
        <v>888</v>
      </c>
      <c r="B414" s="9" t="s">
        <v>887</v>
      </c>
    </row>
    <row r="415" spans="1:2" x14ac:dyDescent="0.35">
      <c r="A415" s="12" t="s">
        <v>1055</v>
      </c>
      <c r="B415" s="9" t="s">
        <v>1054</v>
      </c>
    </row>
    <row r="416" spans="1:2" x14ac:dyDescent="0.35">
      <c r="A416" s="12" t="s">
        <v>742</v>
      </c>
      <c r="B416" s="9" t="s">
        <v>741</v>
      </c>
    </row>
    <row r="417" spans="1:2" x14ac:dyDescent="0.35">
      <c r="A417" s="12" t="s">
        <v>871</v>
      </c>
      <c r="B417" s="9" t="s">
        <v>870</v>
      </c>
    </row>
    <row r="418" spans="1:2" x14ac:dyDescent="0.35">
      <c r="A418" s="12" t="s">
        <v>890</v>
      </c>
      <c r="B418" s="9" t="s">
        <v>889</v>
      </c>
    </row>
    <row r="419" spans="1:2" x14ac:dyDescent="0.35">
      <c r="A419" s="12" t="s">
        <v>1063</v>
      </c>
      <c r="B419" s="9" t="s">
        <v>1062</v>
      </c>
    </row>
    <row r="420" spans="1:2" x14ac:dyDescent="0.35">
      <c r="A420" s="12" t="s">
        <v>1030</v>
      </c>
      <c r="B420" s="9" t="s">
        <v>1029</v>
      </c>
    </row>
    <row r="421" spans="1:2" x14ac:dyDescent="0.35">
      <c r="A421" s="12" t="s">
        <v>1086</v>
      </c>
      <c r="B421" s="9" t="s">
        <v>755</v>
      </c>
    </row>
    <row r="422" spans="1:2" x14ac:dyDescent="0.35">
      <c r="A422" s="12" t="s">
        <v>901</v>
      </c>
      <c r="B422" s="9" t="s">
        <v>900</v>
      </c>
    </row>
    <row r="423" spans="1:2" x14ac:dyDescent="0.35">
      <c r="A423" s="12" t="s">
        <v>1069</v>
      </c>
      <c r="B423" s="9" t="s">
        <v>894</v>
      </c>
    </row>
    <row r="424" spans="1:2" x14ac:dyDescent="0.35">
      <c r="A424" s="12" t="s">
        <v>735</v>
      </c>
      <c r="B424" s="9" t="s">
        <v>539</v>
      </c>
    </row>
    <row r="425" spans="1:2" x14ac:dyDescent="0.35">
      <c r="A425" s="12" t="s">
        <v>873</v>
      </c>
      <c r="B425" s="9" t="s">
        <v>872</v>
      </c>
    </row>
    <row r="426" spans="1:2" x14ac:dyDescent="0.35">
      <c r="A426" s="12" t="s">
        <v>1065</v>
      </c>
      <c r="B426" s="9" t="s">
        <v>1064</v>
      </c>
    </row>
    <row r="427" spans="1:2" x14ac:dyDescent="0.35">
      <c r="A427" s="12" t="s">
        <v>922</v>
      </c>
      <c r="B427" s="9" t="s">
        <v>921</v>
      </c>
    </row>
    <row r="428" spans="1:2" x14ac:dyDescent="0.35">
      <c r="A428" s="12" t="s">
        <v>856</v>
      </c>
      <c r="B428" s="9" t="s">
        <v>855</v>
      </c>
    </row>
    <row r="429" spans="1:2" x14ac:dyDescent="0.35">
      <c r="A429" s="12" t="s">
        <v>1131</v>
      </c>
      <c r="B429" s="9" t="s">
        <v>782</v>
      </c>
    </row>
    <row r="430" spans="1:2" x14ac:dyDescent="0.35">
      <c r="A430" s="12" t="s">
        <v>923</v>
      </c>
      <c r="B430" s="9" t="s">
        <v>897</v>
      </c>
    </row>
    <row r="431" spans="1:2" x14ac:dyDescent="0.35">
      <c r="A431" s="12" t="s">
        <v>918</v>
      </c>
      <c r="B431" s="9" t="s">
        <v>917</v>
      </c>
    </row>
    <row r="432" spans="1:2" x14ac:dyDescent="0.35">
      <c r="A432" s="12" t="s">
        <v>678</v>
      </c>
      <c r="B432" s="9" t="s">
        <v>677</v>
      </c>
    </row>
    <row r="433" spans="1:2" x14ac:dyDescent="0.35">
      <c r="A433" s="12" t="s">
        <v>886</v>
      </c>
      <c r="B433" s="9" t="s">
        <v>53</v>
      </c>
    </row>
    <row r="434" spans="1:2" x14ac:dyDescent="0.35">
      <c r="A434" s="12" t="s">
        <v>920</v>
      </c>
      <c r="B434" s="9" t="s">
        <v>919</v>
      </c>
    </row>
    <row r="435" spans="1:2" x14ac:dyDescent="0.35">
      <c r="A435" s="12" t="s">
        <v>970</v>
      </c>
      <c r="B435" s="9" t="s">
        <v>969</v>
      </c>
    </row>
    <row r="436" spans="1:2" x14ac:dyDescent="0.35">
      <c r="A436" s="12" t="s">
        <v>885</v>
      </c>
      <c r="B436" s="9" t="s">
        <v>884</v>
      </c>
    </row>
    <row r="437" spans="1:2" x14ac:dyDescent="0.35">
      <c r="A437" s="12" t="s">
        <v>1134</v>
      </c>
      <c r="B437" s="9" t="s">
        <v>57</v>
      </c>
    </row>
    <row r="438" spans="1:2" x14ac:dyDescent="0.35">
      <c r="A438" s="12" t="s">
        <v>951</v>
      </c>
      <c r="B438" s="9" t="s">
        <v>950</v>
      </c>
    </row>
    <row r="439" spans="1:2" x14ac:dyDescent="0.35">
      <c r="A439" s="12" t="s">
        <v>1071</v>
      </c>
      <c r="B439" s="9" t="s">
        <v>1070</v>
      </c>
    </row>
    <row r="440" spans="1:2" x14ac:dyDescent="0.35">
      <c r="A440" s="12" t="s">
        <v>621</v>
      </c>
      <c r="B440" s="9" t="s">
        <v>471</v>
      </c>
    </row>
    <row r="441" spans="1:2" x14ac:dyDescent="0.35">
      <c r="A441" s="12" t="s">
        <v>973</v>
      </c>
      <c r="B441" s="9" t="s">
        <v>934</v>
      </c>
    </row>
    <row r="442" spans="1:2" x14ac:dyDescent="0.35">
      <c r="A442" s="12" t="s">
        <v>797</v>
      </c>
      <c r="B442" s="9" t="s">
        <v>156</v>
      </c>
    </row>
    <row r="443" spans="1:2" x14ac:dyDescent="0.35">
      <c r="A443" s="12" t="s">
        <v>1162</v>
      </c>
      <c r="B443" s="9" t="s">
        <v>1161</v>
      </c>
    </row>
    <row r="444" spans="1:2" x14ac:dyDescent="0.35">
      <c r="A444" s="12" t="s">
        <v>465</v>
      </c>
      <c r="B444" s="9" t="s">
        <v>464</v>
      </c>
    </row>
    <row r="445" spans="1:2" x14ac:dyDescent="0.35">
      <c r="A445" s="12" t="s">
        <v>1139</v>
      </c>
      <c r="B445" s="9" t="s">
        <v>1099</v>
      </c>
    </row>
    <row r="446" spans="1:2" x14ac:dyDescent="0.35">
      <c r="A446" s="12" t="s">
        <v>998</v>
      </c>
      <c r="B446" s="9" t="s">
        <v>997</v>
      </c>
    </row>
    <row r="447" spans="1:2" x14ac:dyDescent="0.35">
      <c r="A447" s="12" t="s">
        <v>1075</v>
      </c>
      <c r="B447" s="9" t="s">
        <v>1074</v>
      </c>
    </row>
    <row r="448" spans="1:2" x14ac:dyDescent="0.35">
      <c r="A448" s="12" t="s">
        <v>679</v>
      </c>
      <c r="B448" s="9" t="s">
        <v>431</v>
      </c>
    </row>
    <row r="449" spans="1:2" x14ac:dyDescent="0.35">
      <c r="A449" s="12" t="s">
        <v>407</v>
      </c>
      <c r="B449" s="9" t="s">
        <v>406</v>
      </c>
    </row>
    <row r="450" spans="1:2" x14ac:dyDescent="0.35">
      <c r="A450" s="12" t="s">
        <v>798</v>
      </c>
      <c r="B450" s="9" t="s">
        <v>220</v>
      </c>
    </row>
    <row r="451" spans="1:2" x14ac:dyDescent="0.35">
      <c r="A451" s="12" t="s">
        <v>1195</v>
      </c>
      <c r="B451" s="9" t="s">
        <v>539</v>
      </c>
    </row>
    <row r="452" spans="1:2" x14ac:dyDescent="0.35">
      <c r="A452" s="12" t="s">
        <v>1049</v>
      </c>
      <c r="B452" s="9" t="s">
        <v>1048</v>
      </c>
    </row>
    <row r="453" spans="1:2" x14ac:dyDescent="0.35">
      <c r="A453" s="12" t="s">
        <v>1141</v>
      </c>
      <c r="B453" s="9" t="s">
        <v>1089</v>
      </c>
    </row>
    <row r="454" spans="1:2" x14ac:dyDescent="0.35">
      <c r="A454" s="12" t="s">
        <v>830</v>
      </c>
      <c r="B454" s="9" t="s">
        <v>829</v>
      </c>
    </row>
    <row r="455" spans="1:2" x14ac:dyDescent="0.35">
      <c r="A455" s="12" t="s">
        <v>1080</v>
      </c>
      <c r="B455" s="9" t="s">
        <v>1079</v>
      </c>
    </row>
    <row r="456" spans="1:2" x14ac:dyDescent="0.35">
      <c r="A456" s="12" t="s">
        <v>960</v>
      </c>
      <c r="B456" s="9" t="s">
        <v>959</v>
      </c>
    </row>
    <row r="457" spans="1:2" x14ac:dyDescent="0.35">
      <c r="A457" s="12" t="s">
        <v>980</v>
      </c>
      <c r="B457" s="9" t="s">
        <v>979</v>
      </c>
    </row>
    <row r="458" spans="1:2" x14ac:dyDescent="0.35">
      <c r="A458" s="12" t="s">
        <v>1148</v>
      </c>
      <c r="B458" s="9" t="s">
        <v>1147</v>
      </c>
    </row>
    <row r="459" spans="1:2" x14ac:dyDescent="0.35">
      <c r="A459" s="12" t="s">
        <v>500</v>
      </c>
      <c r="B459" s="9" t="s">
        <v>82</v>
      </c>
    </row>
    <row r="460" spans="1:2" x14ac:dyDescent="0.35">
      <c r="A460" s="12" t="s">
        <v>909</v>
      </c>
      <c r="B460" s="9" t="s">
        <v>908</v>
      </c>
    </row>
    <row r="461" spans="1:2" x14ac:dyDescent="0.35">
      <c r="A461" s="12" t="s">
        <v>1166</v>
      </c>
      <c r="B461" s="9" t="s">
        <v>1165</v>
      </c>
    </row>
    <row r="462" spans="1:2" x14ac:dyDescent="0.35">
      <c r="A462" s="12" t="s">
        <v>899</v>
      </c>
      <c r="B462" s="9" t="s">
        <v>898</v>
      </c>
    </row>
    <row r="463" spans="1:2" x14ac:dyDescent="0.35">
      <c r="A463" s="12" t="s">
        <v>1140</v>
      </c>
      <c r="B463" s="9" t="s">
        <v>1088</v>
      </c>
    </row>
    <row r="464" spans="1:2" x14ac:dyDescent="0.35">
      <c r="A464" s="12" t="s">
        <v>975</v>
      </c>
      <c r="B464" s="9" t="s">
        <v>974</v>
      </c>
    </row>
    <row r="465" spans="1:2" x14ac:dyDescent="0.35">
      <c r="A465" s="12" t="s">
        <v>278</v>
      </c>
      <c r="B465" s="9" t="s">
        <v>722</v>
      </c>
    </row>
    <row r="466" spans="1:2" x14ac:dyDescent="0.35">
      <c r="A466" s="12" t="s">
        <v>1170</v>
      </c>
      <c r="B466" s="9" t="s">
        <v>1169</v>
      </c>
    </row>
    <row r="467" spans="1:2" x14ac:dyDescent="0.35">
      <c r="A467" s="12" t="s">
        <v>1150</v>
      </c>
      <c r="B467" s="9" t="s">
        <v>1149</v>
      </c>
    </row>
    <row r="468" spans="1:2" x14ac:dyDescent="0.35">
      <c r="A468" s="12" t="s">
        <v>799</v>
      </c>
      <c r="B468" s="9" t="s">
        <v>544</v>
      </c>
    </row>
    <row r="469" spans="1:2" x14ac:dyDescent="0.35">
      <c r="A469" s="12" t="s">
        <v>1175</v>
      </c>
      <c r="B469" s="9" t="s">
        <v>1174</v>
      </c>
    </row>
    <row r="470" spans="1:2" x14ac:dyDescent="0.35">
      <c r="A470" s="12" t="s">
        <v>1059</v>
      </c>
      <c r="B470" s="9" t="s">
        <v>1058</v>
      </c>
    </row>
    <row r="471" spans="1:2" x14ac:dyDescent="0.35">
      <c r="A471" s="12" t="s">
        <v>1160</v>
      </c>
      <c r="B471" s="9" t="s">
        <v>1127</v>
      </c>
    </row>
    <row r="472" spans="1:2" x14ac:dyDescent="0.35">
      <c r="A472" s="12" t="s">
        <v>977</v>
      </c>
      <c r="B472" s="9" t="s">
        <v>976</v>
      </c>
    </row>
    <row r="473" spans="1:2" x14ac:dyDescent="0.35">
      <c r="A473" s="12" t="s">
        <v>1010</v>
      </c>
      <c r="B473" s="9" t="s">
        <v>1004</v>
      </c>
    </row>
    <row r="474" spans="1:2" x14ac:dyDescent="0.35">
      <c r="A474" s="12" t="s">
        <v>1203</v>
      </c>
      <c r="B474" s="9" t="s">
        <v>1202</v>
      </c>
    </row>
    <row r="475" spans="1:2" x14ac:dyDescent="0.35">
      <c r="A475" s="12" t="s">
        <v>234</v>
      </c>
      <c r="B475" s="9" t="s">
        <v>732</v>
      </c>
    </row>
    <row r="476" spans="1:2" x14ac:dyDescent="0.35">
      <c r="A476" s="12" t="s">
        <v>1138</v>
      </c>
      <c r="B476" s="9" t="s">
        <v>1098</v>
      </c>
    </row>
    <row r="477" spans="1:2" x14ac:dyDescent="0.35">
      <c r="A477" s="12" t="s">
        <v>1177</v>
      </c>
      <c r="B477" s="9" t="s">
        <v>1176</v>
      </c>
    </row>
    <row r="478" spans="1:2" x14ac:dyDescent="0.35">
      <c r="A478" s="12" t="s">
        <v>1073</v>
      </c>
      <c r="B478" s="9" t="s">
        <v>1072</v>
      </c>
    </row>
    <row r="479" spans="1:2" x14ac:dyDescent="0.35">
      <c r="A479" s="12" t="s">
        <v>1016</v>
      </c>
      <c r="B479" s="9" t="s">
        <v>1015</v>
      </c>
    </row>
    <row r="480" spans="1:2" x14ac:dyDescent="0.35">
      <c r="A480" s="12" t="s">
        <v>838</v>
      </c>
      <c r="B480" s="9" t="s">
        <v>837</v>
      </c>
    </row>
    <row r="481" spans="1:2" x14ac:dyDescent="0.35">
      <c r="A481" s="12" t="s">
        <v>1021</v>
      </c>
      <c r="B481" s="9" t="s">
        <v>86</v>
      </c>
    </row>
    <row r="482" spans="1:2" x14ac:dyDescent="0.35">
      <c r="A482" s="12" t="s">
        <v>157</v>
      </c>
      <c r="B482" s="9" t="s">
        <v>656</v>
      </c>
    </row>
    <row r="483" spans="1:2" x14ac:dyDescent="0.35">
      <c r="A483" s="12" t="s">
        <v>271</v>
      </c>
      <c r="B483" s="9" t="s">
        <v>270</v>
      </c>
    </row>
    <row r="484" spans="1:2" x14ac:dyDescent="0.35">
      <c r="A484" s="12" t="s">
        <v>1154</v>
      </c>
      <c r="B484" s="9" t="s">
        <v>1153</v>
      </c>
    </row>
    <row r="485" spans="1:2" x14ac:dyDescent="0.35">
      <c r="A485" s="12" t="s">
        <v>808</v>
      </c>
      <c r="B485" s="9" t="s">
        <v>546</v>
      </c>
    </row>
    <row r="486" spans="1:2" x14ac:dyDescent="0.35">
      <c r="A486" s="12" t="s">
        <v>1142</v>
      </c>
      <c r="B486" s="9" t="s">
        <v>1083</v>
      </c>
    </row>
    <row r="487" spans="1:2" x14ac:dyDescent="0.35">
      <c r="A487" s="12" t="s">
        <v>1192</v>
      </c>
      <c r="B487" s="9" t="s">
        <v>916</v>
      </c>
    </row>
    <row r="488" spans="1:2" x14ac:dyDescent="0.35">
      <c r="A488" s="12" t="s">
        <v>989</v>
      </c>
      <c r="B488" s="9" t="s">
        <v>988</v>
      </c>
    </row>
    <row r="489" spans="1:2" x14ac:dyDescent="0.35">
      <c r="A489" s="12" t="s">
        <v>1031</v>
      </c>
      <c r="B489" s="9" t="s">
        <v>839</v>
      </c>
    </row>
    <row r="490" spans="1:2" x14ac:dyDescent="0.35">
      <c r="A490" s="12" t="s">
        <v>416</v>
      </c>
      <c r="B490" s="9" t="s">
        <v>588</v>
      </c>
    </row>
    <row r="491" spans="1:2" x14ac:dyDescent="0.35">
      <c r="A491" s="12" t="s">
        <v>501</v>
      </c>
      <c r="B491" s="9" t="s">
        <v>496</v>
      </c>
    </row>
    <row r="492" spans="1:2" x14ac:dyDescent="0.35">
      <c r="A492" s="12" t="s">
        <v>1164</v>
      </c>
      <c r="B492" s="9" t="s">
        <v>1163</v>
      </c>
    </row>
    <row r="493" spans="1:2" x14ac:dyDescent="0.35">
      <c r="A493" s="12" t="s">
        <v>434</v>
      </c>
      <c r="B493" s="9" t="s">
        <v>433</v>
      </c>
    </row>
    <row r="494" spans="1:2" x14ac:dyDescent="0.35">
      <c r="A494" s="12" t="s">
        <v>843</v>
      </c>
      <c r="B494" s="9" t="s">
        <v>842</v>
      </c>
    </row>
    <row r="495" spans="1:2" x14ac:dyDescent="0.35">
      <c r="A495" s="12" t="s">
        <v>1197</v>
      </c>
      <c r="B495" s="9" t="s">
        <v>1196</v>
      </c>
    </row>
    <row r="496" spans="1:2" x14ac:dyDescent="0.35">
      <c r="A496" s="12" t="s">
        <v>1043</v>
      </c>
      <c r="B496" s="9" t="s">
        <v>1042</v>
      </c>
    </row>
    <row r="497" spans="1:2" x14ac:dyDescent="0.35">
      <c r="A497" s="12" t="s">
        <v>1047</v>
      </c>
      <c r="B497" s="9" t="s">
        <v>1046</v>
      </c>
    </row>
    <row r="498" spans="1:2" x14ac:dyDescent="0.35">
      <c r="A498" s="12" t="s">
        <v>381</v>
      </c>
      <c r="B498" s="9" t="s">
        <v>478</v>
      </c>
    </row>
    <row r="499" spans="1:2" x14ac:dyDescent="0.35">
      <c r="A499" s="12" t="s">
        <v>1230</v>
      </c>
      <c r="B499" s="9" t="s">
        <v>1126</v>
      </c>
    </row>
    <row r="500" spans="1:2" x14ac:dyDescent="0.35">
      <c r="A500" s="12" t="s">
        <v>1185</v>
      </c>
      <c r="B500" s="9" t="s">
        <v>1184</v>
      </c>
    </row>
    <row r="501" spans="1:2" x14ac:dyDescent="0.35">
      <c r="A501" s="12" t="s">
        <v>661</v>
      </c>
      <c r="B501" s="9" t="s">
        <v>660</v>
      </c>
    </row>
    <row r="502" spans="1:2" x14ac:dyDescent="0.35">
      <c r="A502" s="12" t="s">
        <v>1168</v>
      </c>
      <c r="B502" s="9" t="s">
        <v>1167</v>
      </c>
    </row>
    <row r="503" spans="1:2" x14ac:dyDescent="0.35">
      <c r="A503" s="12" t="s">
        <v>859</v>
      </c>
      <c r="B503" s="9" t="s">
        <v>724</v>
      </c>
    </row>
    <row r="504" spans="1:2" x14ac:dyDescent="0.35">
      <c r="A504" s="12" t="s">
        <v>907</v>
      </c>
      <c r="B504" s="9" t="s">
        <v>906</v>
      </c>
    </row>
    <row r="505" spans="1:2" x14ac:dyDescent="0.35">
      <c r="A505" s="12" t="s">
        <v>684</v>
      </c>
      <c r="B505" s="9" t="s">
        <v>683</v>
      </c>
    </row>
    <row r="506" spans="1:2" x14ac:dyDescent="0.35">
      <c r="A506" s="12" t="s">
        <v>204</v>
      </c>
      <c r="B506" s="9" t="s">
        <v>201</v>
      </c>
    </row>
    <row r="507" spans="1:2" x14ac:dyDescent="0.35">
      <c r="A507" s="12" t="s">
        <v>1256</v>
      </c>
      <c r="B507" s="9" t="s">
        <v>1255</v>
      </c>
    </row>
    <row r="508" spans="1:2" x14ac:dyDescent="0.35">
      <c r="A508" s="12" t="s">
        <v>1014</v>
      </c>
      <c r="B508" s="9" t="s">
        <v>1013</v>
      </c>
    </row>
    <row r="509" spans="1:2" x14ac:dyDescent="0.35">
      <c r="A509" s="12" t="s">
        <v>413</v>
      </c>
      <c r="B509" s="9" t="s">
        <v>412</v>
      </c>
    </row>
    <row r="510" spans="1:2" x14ac:dyDescent="0.35">
      <c r="A510" s="12" t="s">
        <v>812</v>
      </c>
      <c r="B510" s="9" t="s">
        <v>547</v>
      </c>
    </row>
    <row r="511" spans="1:2" x14ac:dyDescent="0.35">
      <c r="A511" s="12" t="s">
        <v>778</v>
      </c>
      <c r="B511" s="9" t="s">
        <v>123</v>
      </c>
    </row>
    <row r="512" spans="1:2" x14ac:dyDescent="0.35">
      <c r="A512" s="12" t="s">
        <v>1066</v>
      </c>
      <c r="B512" s="9" t="s">
        <v>1053</v>
      </c>
    </row>
    <row r="513" spans="1:2" x14ac:dyDescent="0.35">
      <c r="A513" s="12" t="s">
        <v>1082</v>
      </c>
      <c r="B513" s="9" t="s">
        <v>1081</v>
      </c>
    </row>
    <row r="514" spans="1:2" x14ac:dyDescent="0.35">
      <c r="A514" s="12" t="s">
        <v>152</v>
      </c>
      <c r="B514" s="9" t="s">
        <v>531</v>
      </c>
    </row>
    <row r="515" spans="1:2" x14ac:dyDescent="0.35">
      <c r="A515" s="12" t="s">
        <v>1257</v>
      </c>
      <c r="B515" s="9" t="s">
        <v>1234</v>
      </c>
    </row>
    <row r="516" spans="1:2" x14ac:dyDescent="0.35">
      <c r="A516" s="12" t="s">
        <v>1205</v>
      </c>
      <c r="B516" s="9" t="s">
        <v>1204</v>
      </c>
    </row>
    <row r="517" spans="1:2" x14ac:dyDescent="0.35">
      <c r="A517" s="12" t="s">
        <v>858</v>
      </c>
      <c r="B517" s="9" t="s">
        <v>857</v>
      </c>
    </row>
    <row r="518" spans="1:2" x14ac:dyDescent="0.35">
      <c r="A518" s="12" t="s">
        <v>1199</v>
      </c>
      <c r="B518" s="9" t="s">
        <v>1198</v>
      </c>
    </row>
    <row r="519" spans="1:2" x14ac:dyDescent="0.35">
      <c r="A519" s="12" t="s">
        <v>1252</v>
      </c>
      <c r="B519" s="9" t="s">
        <v>1001</v>
      </c>
    </row>
    <row r="520" spans="1:2" x14ac:dyDescent="0.35">
      <c r="A520" s="12" t="s">
        <v>1068</v>
      </c>
      <c r="B520" s="9" t="s">
        <v>1067</v>
      </c>
    </row>
    <row r="521" spans="1:2" x14ac:dyDescent="0.35">
      <c r="A521" s="12" t="s">
        <v>1085</v>
      </c>
      <c r="B521" s="9" t="s">
        <v>1084</v>
      </c>
    </row>
    <row r="522" spans="1:2" x14ac:dyDescent="0.35">
      <c r="A522" s="12" t="s">
        <v>1218</v>
      </c>
      <c r="B522" s="9" t="s">
        <v>1217</v>
      </c>
    </row>
    <row r="523" spans="1:2" x14ac:dyDescent="0.35">
      <c r="A523" s="12" t="s">
        <v>1146</v>
      </c>
      <c r="B523" s="9" t="s">
        <v>1094</v>
      </c>
    </row>
    <row r="524" spans="1:2" x14ac:dyDescent="0.35">
      <c r="A524" s="12" t="s">
        <v>263</v>
      </c>
      <c r="B524" s="9" t="s">
        <v>707</v>
      </c>
    </row>
    <row r="525" spans="1:2" x14ac:dyDescent="0.35">
      <c r="A525" s="12" t="s">
        <v>723</v>
      </c>
      <c r="B525" s="9" t="s">
        <v>261</v>
      </c>
    </row>
    <row r="526" spans="1:2" x14ac:dyDescent="0.35">
      <c r="A526" s="12" t="s">
        <v>96</v>
      </c>
      <c r="B526" s="9" t="s">
        <v>696</v>
      </c>
    </row>
    <row r="527" spans="1:2" x14ac:dyDescent="0.35">
      <c r="A527" s="12" t="s">
        <v>1122</v>
      </c>
      <c r="B527" s="9" t="s">
        <v>726</v>
      </c>
    </row>
    <row r="528" spans="1:2" x14ac:dyDescent="0.35">
      <c r="A528" s="12" t="s">
        <v>796</v>
      </c>
      <c r="B528" s="9" t="s">
        <v>1093</v>
      </c>
    </row>
    <row r="529" spans="1:2" x14ac:dyDescent="0.35">
      <c r="A529" s="12" t="s">
        <v>1132</v>
      </c>
      <c r="B529" s="9" t="s">
        <v>1091</v>
      </c>
    </row>
    <row r="530" spans="1:2" x14ac:dyDescent="0.35">
      <c r="A530" s="12" t="s">
        <v>1315</v>
      </c>
      <c r="B530" s="9" t="s">
        <v>1311</v>
      </c>
    </row>
    <row r="531" spans="1:2" x14ac:dyDescent="0.35">
      <c r="A531" s="12" t="s">
        <v>1135</v>
      </c>
      <c r="B531" s="9" t="s">
        <v>1095</v>
      </c>
    </row>
    <row r="532" spans="1:2" x14ac:dyDescent="0.35">
      <c r="A532" s="12" t="s">
        <v>957</v>
      </c>
      <c r="B532" s="9" t="s">
        <v>956</v>
      </c>
    </row>
    <row r="533" spans="1:2" x14ac:dyDescent="0.35">
      <c r="A533" s="12" t="s">
        <v>71</v>
      </c>
      <c r="B533" s="9" t="s">
        <v>133</v>
      </c>
    </row>
    <row r="534" spans="1:2" x14ac:dyDescent="0.35">
      <c r="A534" s="12" t="s">
        <v>37</v>
      </c>
      <c r="B534" s="9" t="s">
        <v>354</v>
      </c>
    </row>
    <row r="535" spans="1:2" x14ac:dyDescent="0.35">
      <c r="A535" s="12" t="s">
        <v>110</v>
      </c>
      <c r="B535" s="9" t="s">
        <v>62</v>
      </c>
    </row>
    <row r="536" spans="1:2" x14ac:dyDescent="0.35">
      <c r="A536" s="12" t="s">
        <v>968</v>
      </c>
      <c r="B536" s="9" t="s">
        <v>967</v>
      </c>
    </row>
    <row r="537" spans="1:2" x14ac:dyDescent="0.35">
      <c r="A537" s="12" t="s">
        <v>1133</v>
      </c>
      <c r="B537" s="9" t="s">
        <v>1092</v>
      </c>
    </row>
    <row r="538" spans="1:2" x14ac:dyDescent="0.35">
      <c r="A538" s="12" t="s">
        <v>1339</v>
      </c>
      <c r="B538" s="9" t="s">
        <v>1340</v>
      </c>
    </row>
    <row r="539" spans="1:2" x14ac:dyDescent="0.35">
      <c r="A539" s="12" t="s">
        <v>337</v>
      </c>
      <c r="B539" s="9" t="s">
        <v>542</v>
      </c>
    </row>
    <row r="540" spans="1:2" x14ac:dyDescent="0.35">
      <c r="A540" s="12" t="s">
        <v>728</v>
      </c>
      <c r="B540" s="9" t="s">
        <v>101</v>
      </c>
    </row>
    <row r="541" spans="1:2" x14ac:dyDescent="0.35">
      <c r="A541" s="12" t="s">
        <v>18</v>
      </c>
      <c r="B541" s="9" t="s">
        <v>352</v>
      </c>
    </row>
    <row r="542" spans="1:2" x14ac:dyDescent="0.35">
      <c r="A542" s="12" t="s">
        <v>1251</v>
      </c>
      <c r="B542" s="9" t="s">
        <v>1231</v>
      </c>
    </row>
    <row r="543" spans="1:2" x14ac:dyDescent="0.35">
      <c r="A543" s="12" t="s">
        <v>85</v>
      </c>
      <c r="B543" s="9" t="s">
        <v>216</v>
      </c>
    </row>
    <row r="544" spans="1:2" x14ac:dyDescent="0.35">
      <c r="A544" s="12" t="s">
        <v>1152</v>
      </c>
      <c r="B544" s="9" t="s">
        <v>1151</v>
      </c>
    </row>
    <row r="545" spans="1:2" x14ac:dyDescent="0.35">
      <c r="A545" s="12" t="s">
        <v>932</v>
      </c>
      <c r="B545" s="9" t="s">
        <v>931</v>
      </c>
    </row>
    <row r="546" spans="1:2" x14ac:dyDescent="0.35">
      <c r="A546" s="12" t="s">
        <v>1358</v>
      </c>
      <c r="B546" s="9" t="s">
        <v>1359</v>
      </c>
    </row>
    <row r="547" spans="1:2" x14ac:dyDescent="0.35">
      <c r="A547" s="12" t="s">
        <v>1214</v>
      </c>
      <c r="B547" s="9" t="s">
        <v>792</v>
      </c>
    </row>
    <row r="548" spans="1:2" x14ac:dyDescent="0.35">
      <c r="A548" s="12" t="s">
        <v>571</v>
      </c>
      <c r="B548" s="9" t="s">
        <v>559</v>
      </c>
    </row>
    <row r="549" spans="1:2" x14ac:dyDescent="0.35">
      <c r="A549" s="12" t="s">
        <v>1253</v>
      </c>
      <c r="B549" s="9" t="s">
        <v>1232</v>
      </c>
    </row>
    <row r="550" spans="1:2" x14ac:dyDescent="0.35">
      <c r="A550" s="12" t="s">
        <v>29</v>
      </c>
      <c r="B550" s="9" t="s">
        <v>238</v>
      </c>
    </row>
    <row r="551" spans="1:2" x14ac:dyDescent="0.35">
      <c r="A551" s="12" t="s">
        <v>1221</v>
      </c>
      <c r="B551" s="9" t="s">
        <v>1220</v>
      </c>
    </row>
    <row r="552" spans="1:2" x14ac:dyDescent="0.35">
      <c r="A552" s="12" t="s">
        <v>1183</v>
      </c>
      <c r="B552" s="9" t="s">
        <v>1182</v>
      </c>
    </row>
    <row r="553" spans="1:2" x14ac:dyDescent="0.35">
      <c r="A553" s="12" t="s">
        <v>1155</v>
      </c>
      <c r="B553" s="9" t="s">
        <v>1121</v>
      </c>
    </row>
    <row r="554" spans="1:2" x14ac:dyDescent="0.35">
      <c r="A554" s="12" t="s">
        <v>1623</v>
      </c>
      <c r="B554" s="9" t="s">
        <v>1631</v>
      </c>
    </row>
    <row r="555" spans="1:2" x14ac:dyDescent="0.35">
      <c r="A555" s="12" t="s">
        <v>1051</v>
      </c>
      <c r="B555" s="9" t="s">
        <v>1050</v>
      </c>
    </row>
    <row r="556" spans="1:2" x14ac:dyDescent="0.35">
      <c r="A556" s="12" t="s">
        <v>74</v>
      </c>
      <c r="B556" s="9" t="s">
        <v>73</v>
      </c>
    </row>
    <row r="557" spans="1:2" x14ac:dyDescent="0.35">
      <c r="A557" s="12" t="s">
        <v>1136</v>
      </c>
      <c r="B557" s="9" t="s">
        <v>1096</v>
      </c>
    </row>
    <row r="558" spans="1:2" x14ac:dyDescent="0.35">
      <c r="A558" s="12" t="s">
        <v>595</v>
      </c>
      <c r="B558" s="9" t="s">
        <v>721</v>
      </c>
    </row>
    <row r="559" spans="1:2" x14ac:dyDescent="0.35">
      <c r="A559" s="12" t="s">
        <v>1316</v>
      </c>
      <c r="B559" s="9" t="s">
        <v>1194</v>
      </c>
    </row>
    <row r="560" spans="1:2" x14ac:dyDescent="0.35">
      <c r="A560" s="12" t="s">
        <v>1193</v>
      </c>
      <c r="B560" s="9" t="s">
        <v>1191</v>
      </c>
    </row>
    <row r="561" spans="1:2" x14ac:dyDescent="0.35">
      <c r="A561" s="12" t="s">
        <v>853</v>
      </c>
      <c r="B561" s="9" t="s">
        <v>300</v>
      </c>
    </row>
    <row r="562" spans="1:2" x14ac:dyDescent="0.35">
      <c r="A562" s="12" t="s">
        <v>1624</v>
      </c>
      <c r="B562" s="9" t="s">
        <v>1632</v>
      </c>
    </row>
    <row r="563" spans="1:2" x14ac:dyDescent="0.35">
      <c r="A563" s="12" t="s">
        <v>1347</v>
      </c>
      <c r="B563" s="9" t="s">
        <v>1348</v>
      </c>
    </row>
    <row r="564" spans="1:2" x14ac:dyDescent="0.35">
      <c r="A564" s="12" t="s">
        <v>1254</v>
      </c>
      <c r="B564" s="9" t="s">
        <v>1233</v>
      </c>
    </row>
    <row r="565" spans="1:2" x14ac:dyDescent="0.35">
      <c r="A565" s="12" t="s">
        <v>1123</v>
      </c>
      <c r="B565" s="9" t="s">
        <v>106</v>
      </c>
    </row>
    <row r="566" spans="1:2" x14ac:dyDescent="0.35">
      <c r="A566" s="12" t="s">
        <v>1353</v>
      </c>
      <c r="B566" s="9" t="s">
        <v>1354</v>
      </c>
    </row>
    <row r="567" spans="1:2" x14ac:dyDescent="0.35">
      <c r="A567" s="12" t="s">
        <v>1341</v>
      </c>
      <c r="B567" s="9" t="s">
        <v>1342</v>
      </c>
    </row>
    <row r="568" spans="1:2" x14ac:dyDescent="0.35">
      <c r="A568" s="12" t="s">
        <v>269</v>
      </c>
      <c r="B568" s="9" t="s">
        <v>187</v>
      </c>
    </row>
    <row r="569" spans="1:2" x14ac:dyDescent="0.35">
      <c r="A569" s="12" t="s">
        <v>1178</v>
      </c>
      <c r="B569" s="9" t="s">
        <v>1173</v>
      </c>
    </row>
    <row r="570" spans="1:2" x14ac:dyDescent="0.35">
      <c r="A570" s="12" t="s">
        <v>1269</v>
      </c>
      <c r="B570" s="9" t="s">
        <v>1267</v>
      </c>
    </row>
    <row r="571" spans="1:2" x14ac:dyDescent="0.35">
      <c r="A571" s="12" t="s">
        <v>1355</v>
      </c>
      <c r="B571" s="9" t="s">
        <v>192</v>
      </c>
    </row>
    <row r="572" spans="1:2" x14ac:dyDescent="0.35">
      <c r="A572" s="12" t="s">
        <v>328</v>
      </c>
      <c r="B572" s="9" t="s">
        <v>327</v>
      </c>
    </row>
    <row r="573" spans="1:2" x14ac:dyDescent="0.35">
      <c r="A573" s="12" t="s">
        <v>618</v>
      </c>
      <c r="B573" s="9" t="s">
        <v>118</v>
      </c>
    </row>
    <row r="574" spans="1:2" x14ac:dyDescent="0.35">
      <c r="A574" s="12" t="s">
        <v>1335</v>
      </c>
      <c r="B574" s="9" t="s">
        <v>1336</v>
      </c>
    </row>
    <row r="575" spans="1:2" x14ac:dyDescent="0.35">
      <c r="A575" s="12" t="s">
        <v>1625</v>
      </c>
      <c r="B575" s="9" t="s">
        <v>1633</v>
      </c>
    </row>
    <row r="576" spans="1:2" x14ac:dyDescent="0.35">
      <c r="A576" s="12" t="s">
        <v>597</v>
      </c>
      <c r="B576" s="9" t="s">
        <v>619</v>
      </c>
    </row>
    <row r="577" spans="1:2" x14ac:dyDescent="0.35">
      <c r="A577" s="12" t="s">
        <v>1026</v>
      </c>
      <c r="B577" s="9" t="s">
        <v>1025</v>
      </c>
    </row>
    <row r="578" spans="1:2" x14ac:dyDescent="0.35">
      <c r="A578" s="12" t="s">
        <v>993</v>
      </c>
      <c r="B578" s="9" t="s">
        <v>992</v>
      </c>
    </row>
    <row r="579" spans="1:2" x14ac:dyDescent="0.35">
      <c r="A579" s="12" t="s">
        <v>1362</v>
      </c>
      <c r="B579" s="9" t="s">
        <v>1363</v>
      </c>
    </row>
    <row r="580" spans="1:2" x14ac:dyDescent="0.35">
      <c r="A580" s="12" t="s">
        <v>861</v>
      </c>
      <c r="B580" s="9" t="s">
        <v>860</v>
      </c>
    </row>
    <row r="581" spans="1:2" x14ac:dyDescent="0.35">
      <c r="A581" s="12" t="s">
        <v>374</v>
      </c>
      <c r="B581" s="9" t="s">
        <v>58</v>
      </c>
    </row>
    <row r="582" spans="1:2" x14ac:dyDescent="0.35">
      <c r="A582" s="12" t="s">
        <v>1057</v>
      </c>
      <c r="B582" s="9" t="s">
        <v>1056</v>
      </c>
    </row>
    <row r="583" spans="1:2" x14ac:dyDescent="0.35">
      <c r="A583" s="12" t="s">
        <v>1626</v>
      </c>
      <c r="B583" s="9" t="s">
        <v>1634</v>
      </c>
    </row>
    <row r="584" spans="1:2" x14ac:dyDescent="0.35">
      <c r="A584" s="12" t="s">
        <v>167</v>
      </c>
      <c r="B584" s="9" t="s">
        <v>449</v>
      </c>
    </row>
    <row r="585" spans="1:2" x14ac:dyDescent="0.35">
      <c r="A585" s="12" t="s">
        <v>1201</v>
      </c>
      <c r="B585" s="9" t="s">
        <v>1200</v>
      </c>
    </row>
    <row r="586" spans="1:2" x14ac:dyDescent="0.35">
      <c r="A586" s="12" t="s">
        <v>1276</v>
      </c>
      <c r="B586" s="9" t="s">
        <v>1237</v>
      </c>
    </row>
    <row r="587" spans="1:2" x14ac:dyDescent="0.35">
      <c r="A587" s="12" t="s">
        <v>1627</v>
      </c>
      <c r="B587" s="9" t="s">
        <v>1635</v>
      </c>
    </row>
    <row r="588" spans="1:2" x14ac:dyDescent="0.35">
      <c r="A588" s="12" t="s">
        <v>339</v>
      </c>
      <c r="B588" s="9" t="s">
        <v>338</v>
      </c>
    </row>
    <row r="589" spans="1:2" x14ac:dyDescent="0.35">
      <c r="A589" s="12" t="s">
        <v>646</v>
      </c>
      <c r="B589" s="9" t="s">
        <v>664</v>
      </c>
    </row>
    <row r="590" spans="1:2" x14ac:dyDescent="0.35">
      <c r="A590" s="12" t="s">
        <v>958</v>
      </c>
      <c r="B590" s="9" t="s">
        <v>947</v>
      </c>
    </row>
    <row r="591" spans="1:2" x14ac:dyDescent="0.35">
      <c r="A591" s="12" t="s">
        <v>867</v>
      </c>
      <c r="B591" s="9" t="s">
        <v>866</v>
      </c>
    </row>
    <row r="592" spans="1:2" x14ac:dyDescent="0.35">
      <c r="A592" s="12" t="s">
        <v>84</v>
      </c>
      <c r="B592" s="9" t="s">
        <v>438</v>
      </c>
    </row>
    <row r="593" spans="1:2" x14ac:dyDescent="0.35">
      <c r="A593" s="12" t="s">
        <v>698</v>
      </c>
      <c r="B593" s="9" t="s">
        <v>1213</v>
      </c>
    </row>
    <row r="594" spans="1:2" x14ac:dyDescent="0.35">
      <c r="A594" s="12" t="s">
        <v>1284</v>
      </c>
      <c r="B594" s="9" t="s">
        <v>1283</v>
      </c>
    </row>
    <row r="595" spans="1:2" x14ac:dyDescent="0.35">
      <c r="A595" s="12" t="s">
        <v>233</v>
      </c>
      <c r="B595" s="9" t="s">
        <v>129</v>
      </c>
    </row>
    <row r="596" spans="1:2" x14ac:dyDescent="0.35">
      <c r="A596" s="12" t="s">
        <v>1116</v>
      </c>
      <c r="B596" s="9" t="s">
        <v>36</v>
      </c>
    </row>
    <row r="597" spans="1:2" x14ac:dyDescent="0.35">
      <c r="A597" s="12" t="s">
        <v>1216</v>
      </c>
      <c r="B597" s="9" t="s">
        <v>1215</v>
      </c>
    </row>
    <row r="598" spans="1:2" x14ac:dyDescent="0.35">
      <c r="A598" s="12" t="s">
        <v>530</v>
      </c>
      <c r="B598" s="9" t="s">
        <v>692</v>
      </c>
    </row>
    <row r="599" spans="1:2" x14ac:dyDescent="0.35">
      <c r="A599" s="12" t="s">
        <v>1302</v>
      </c>
      <c r="B599" s="9" t="s">
        <v>198</v>
      </c>
    </row>
    <row r="600" spans="1:2" x14ac:dyDescent="0.35">
      <c r="A600" s="12" t="s">
        <v>1</v>
      </c>
      <c r="B600" s="9" t="s">
        <v>0</v>
      </c>
    </row>
    <row r="601" spans="1:2" x14ac:dyDescent="0.35">
      <c r="A601" s="12" t="s">
        <v>1077</v>
      </c>
      <c r="B601" s="9" t="s">
        <v>1076</v>
      </c>
    </row>
    <row r="602" spans="1:2" x14ac:dyDescent="0.35">
      <c r="A602" s="12" t="s">
        <v>1287</v>
      </c>
      <c r="B602" s="9" t="s">
        <v>1078</v>
      </c>
    </row>
    <row r="603" spans="1:2" x14ac:dyDescent="0.35">
      <c r="A603" s="12" t="s">
        <v>75</v>
      </c>
      <c r="B603" s="9" t="s">
        <v>472</v>
      </c>
    </row>
    <row r="604" spans="1:2" x14ac:dyDescent="0.35">
      <c r="A604" s="12" t="s">
        <v>1328</v>
      </c>
      <c r="B604" s="9" t="s">
        <v>1329</v>
      </c>
    </row>
    <row r="605" spans="1:2" x14ac:dyDescent="0.35">
      <c r="A605" s="12" t="s">
        <v>1223</v>
      </c>
      <c r="B605" s="9" t="s">
        <v>827</v>
      </c>
    </row>
    <row r="606" spans="1:2" x14ac:dyDescent="0.35">
      <c r="A606" s="12" t="s">
        <v>1271</v>
      </c>
      <c r="B606" s="9" t="s">
        <v>1181</v>
      </c>
    </row>
    <row r="607" spans="1:2" x14ac:dyDescent="0.35">
      <c r="A607" s="12" t="s">
        <v>1305</v>
      </c>
      <c r="B607" s="9" t="s">
        <v>1190</v>
      </c>
    </row>
    <row r="608" spans="1:2" x14ac:dyDescent="0.35">
      <c r="A608" s="12" t="s">
        <v>793</v>
      </c>
      <c r="B608" s="9" t="s">
        <v>791</v>
      </c>
    </row>
    <row r="609" spans="1:2" x14ac:dyDescent="0.35">
      <c r="A609" s="12" t="s">
        <v>164</v>
      </c>
      <c r="B609" s="9" t="s">
        <v>163</v>
      </c>
    </row>
    <row r="610" spans="1:2" x14ac:dyDescent="0.35">
      <c r="A610" s="12" t="s">
        <v>1298</v>
      </c>
      <c r="B610" s="9" t="s">
        <v>1297</v>
      </c>
    </row>
    <row r="611" spans="1:2" x14ac:dyDescent="0.35">
      <c r="A611" s="12" t="s">
        <v>380</v>
      </c>
      <c r="B611" s="9" t="s">
        <v>254</v>
      </c>
    </row>
    <row r="612" spans="1:2" x14ac:dyDescent="0.35">
      <c r="A612" s="12" t="s">
        <v>1331</v>
      </c>
      <c r="B612" s="9" t="s">
        <v>1332</v>
      </c>
    </row>
    <row r="613" spans="1:2" x14ac:dyDescent="0.35">
      <c r="A613" s="12" t="s">
        <v>1224</v>
      </c>
      <c r="B613" s="9" t="s">
        <v>1219</v>
      </c>
    </row>
    <row r="614" spans="1:2" x14ac:dyDescent="0.35">
      <c r="A614" s="12" t="s">
        <v>1159</v>
      </c>
      <c r="B614" s="9" t="s">
        <v>1158</v>
      </c>
    </row>
    <row r="615" spans="1:2" x14ac:dyDescent="0.35">
      <c r="A615" s="12" t="s">
        <v>165</v>
      </c>
      <c r="B615" s="9" t="s">
        <v>368</v>
      </c>
    </row>
    <row r="616" spans="1:2" x14ac:dyDescent="0.35">
      <c r="A616" s="12" t="s">
        <v>1345</v>
      </c>
      <c r="B616" s="9" t="s">
        <v>1346</v>
      </c>
    </row>
    <row r="617" spans="1:2" x14ac:dyDescent="0.35">
      <c r="A617" s="12" t="s">
        <v>1226</v>
      </c>
      <c r="B617" s="9" t="s">
        <v>1225</v>
      </c>
    </row>
    <row r="618" spans="1:2" x14ac:dyDescent="0.35">
      <c r="A618" s="12" t="s">
        <v>1301</v>
      </c>
      <c r="B618" s="9" t="s">
        <v>1290</v>
      </c>
    </row>
    <row r="619" spans="1:2" x14ac:dyDescent="0.35">
      <c r="A619" s="12" t="s">
        <v>1260</v>
      </c>
      <c r="B619" s="9" t="s">
        <v>1259</v>
      </c>
    </row>
    <row r="620" spans="1:2" x14ac:dyDescent="0.35">
      <c r="A620" s="12" t="s">
        <v>1356</v>
      </c>
      <c r="B620" s="9" t="s">
        <v>1357</v>
      </c>
    </row>
    <row r="621" spans="1:2" x14ac:dyDescent="0.35">
      <c r="A621" s="12" t="s">
        <v>659</v>
      </c>
      <c r="B621" s="9" t="s">
        <v>658</v>
      </c>
    </row>
    <row r="622" spans="1:2" x14ac:dyDescent="0.35">
      <c r="A622" s="12" t="s">
        <v>1304</v>
      </c>
      <c r="B622" s="9" t="s">
        <v>1293</v>
      </c>
    </row>
    <row r="623" spans="1:2" x14ac:dyDescent="0.35">
      <c r="A623" s="12" t="s">
        <v>1262</v>
      </c>
      <c r="B623" s="9" t="s">
        <v>1261</v>
      </c>
    </row>
    <row r="624" spans="1:2" x14ac:dyDescent="0.35">
      <c r="A624" s="12" t="s">
        <v>1061</v>
      </c>
      <c r="B624" s="9" t="s">
        <v>1060</v>
      </c>
    </row>
    <row r="625" spans="1:2" x14ac:dyDescent="0.35">
      <c r="A625" s="12" t="s">
        <v>1228</v>
      </c>
      <c r="B625" s="9" t="s">
        <v>1227</v>
      </c>
    </row>
    <row r="626" spans="1:2" x14ac:dyDescent="0.35">
      <c r="A626" s="12" t="s">
        <v>1303</v>
      </c>
      <c r="B626" s="9" t="s">
        <v>1275</v>
      </c>
    </row>
    <row r="627" spans="1:2" x14ac:dyDescent="0.35">
      <c r="A627" s="12" t="s">
        <v>1264</v>
      </c>
      <c r="B627" s="9" t="s">
        <v>1263</v>
      </c>
    </row>
    <row r="628" spans="1:2" x14ac:dyDescent="0.35">
      <c r="A628" s="12" t="s">
        <v>1343</v>
      </c>
      <c r="B628" s="9" t="s">
        <v>1344</v>
      </c>
    </row>
    <row r="629" spans="1:2" x14ac:dyDescent="0.35">
      <c r="A629" s="12" t="s">
        <v>1351</v>
      </c>
      <c r="B629" s="9" t="s">
        <v>1352</v>
      </c>
    </row>
    <row r="630" spans="1:2" x14ac:dyDescent="0.35">
      <c r="A630" s="12" t="s">
        <v>688</v>
      </c>
      <c r="B630" s="9" t="s">
        <v>715</v>
      </c>
    </row>
    <row r="631" spans="1:2" x14ac:dyDescent="0.35">
      <c r="A631" s="12" t="s">
        <v>1266</v>
      </c>
      <c r="B631" s="9" t="s">
        <v>1265</v>
      </c>
    </row>
    <row r="632" spans="1:2" x14ac:dyDescent="0.35">
      <c r="A632" s="12" t="s">
        <v>1628</v>
      </c>
      <c r="B632" s="9" t="s">
        <v>1636</v>
      </c>
    </row>
    <row r="633" spans="1:2" x14ac:dyDescent="0.35">
      <c r="A633" s="12" t="s">
        <v>1229</v>
      </c>
      <c r="B633" s="9" t="s">
        <v>928</v>
      </c>
    </row>
    <row r="634" spans="1:2" x14ac:dyDescent="0.35">
      <c r="A634" s="12" t="s">
        <v>1309</v>
      </c>
      <c r="B634" s="9" t="s">
        <v>1308</v>
      </c>
    </row>
    <row r="635" spans="1:2" x14ac:dyDescent="0.35">
      <c r="A635" s="12" t="s">
        <v>1273</v>
      </c>
      <c r="B635" s="9" t="s">
        <v>1236</v>
      </c>
    </row>
    <row r="636" spans="1:2" x14ac:dyDescent="0.35">
      <c r="A636" s="12" t="s">
        <v>1360</v>
      </c>
      <c r="B636" s="9" t="s">
        <v>1361</v>
      </c>
    </row>
    <row r="637" spans="1:2" x14ac:dyDescent="0.35">
      <c r="A637" s="12" t="s">
        <v>1333</v>
      </c>
      <c r="B637" s="9" t="s">
        <v>1334</v>
      </c>
    </row>
    <row r="638" spans="1:2" x14ac:dyDescent="0.35">
      <c r="A638" s="12" t="s">
        <v>1629</v>
      </c>
      <c r="B638" s="9" t="s">
        <v>1637</v>
      </c>
    </row>
    <row r="639" spans="1:2" x14ac:dyDescent="0.35">
      <c r="A639" s="12" t="s">
        <v>1296</v>
      </c>
      <c r="B639" s="9" t="s">
        <v>1295</v>
      </c>
    </row>
    <row r="640" spans="1:2" x14ac:dyDescent="0.35">
      <c r="A640" s="12" t="s">
        <v>116</v>
      </c>
      <c r="B640" s="9" t="s">
        <v>602</v>
      </c>
    </row>
    <row r="641" spans="1:2" x14ac:dyDescent="0.35">
      <c r="A641" s="12" t="s">
        <v>1258</v>
      </c>
      <c r="B641" s="9" t="s">
        <v>1087</v>
      </c>
    </row>
    <row r="642" spans="1:2" x14ac:dyDescent="0.35">
      <c r="A642" s="12" t="s">
        <v>1157</v>
      </c>
      <c r="B642" s="9" t="s">
        <v>1156</v>
      </c>
    </row>
    <row r="643" spans="1:2" x14ac:dyDescent="0.35">
      <c r="A643" s="12" t="s">
        <v>1312</v>
      </c>
      <c r="B643" s="9" t="s">
        <v>1310</v>
      </c>
    </row>
    <row r="644" spans="1:2" x14ac:dyDescent="0.35">
      <c r="A644" s="12" t="s">
        <v>865</v>
      </c>
      <c r="B644" s="9" t="s">
        <v>864</v>
      </c>
    </row>
    <row r="645" spans="1:2" x14ac:dyDescent="0.35">
      <c r="A645" s="12" t="s">
        <v>1337</v>
      </c>
      <c r="B645" s="9" t="s">
        <v>1338</v>
      </c>
    </row>
    <row r="646" spans="1:2" x14ac:dyDescent="0.35">
      <c r="A646" s="12" t="s">
        <v>235</v>
      </c>
      <c r="B646" s="9" t="s">
        <v>56</v>
      </c>
    </row>
    <row r="647" spans="1:2" x14ac:dyDescent="0.35">
      <c r="A647" s="12" t="s">
        <v>469</v>
      </c>
      <c r="B647" s="9" t="s">
        <v>473</v>
      </c>
    </row>
    <row r="648" spans="1:2" x14ac:dyDescent="0.35">
      <c r="A648" s="12" t="s">
        <v>1268</v>
      </c>
      <c r="B648" s="9" t="s">
        <v>1235</v>
      </c>
    </row>
    <row r="649" spans="1:2" x14ac:dyDescent="0.35">
      <c r="A649" s="12" t="s">
        <v>1137</v>
      </c>
      <c r="B649" s="9" t="s">
        <v>1097</v>
      </c>
    </row>
    <row r="650" spans="1:2" x14ac:dyDescent="0.35">
      <c r="A650" s="12" t="s">
        <v>299</v>
      </c>
      <c r="B650" s="9" t="s">
        <v>719</v>
      </c>
    </row>
    <row r="651" spans="1:2" x14ac:dyDescent="0.35">
      <c r="A651" s="12" t="s">
        <v>558</v>
      </c>
      <c r="B651" s="9" t="s">
        <v>575</v>
      </c>
    </row>
    <row r="652" spans="1:2" x14ac:dyDescent="0.35">
      <c r="A652" s="12" t="s">
        <v>1274</v>
      </c>
      <c r="B652" s="9" t="s">
        <v>1272</v>
      </c>
    </row>
    <row r="653" spans="1:2" x14ac:dyDescent="0.35">
      <c r="A653" s="12" t="s">
        <v>456</v>
      </c>
      <c r="B653" s="9" t="s">
        <v>613</v>
      </c>
    </row>
    <row r="654" spans="1:2" x14ac:dyDescent="0.35">
      <c r="A654" s="12" t="s">
        <v>738</v>
      </c>
      <c r="B654" s="9" t="s">
        <v>391</v>
      </c>
    </row>
    <row r="655" spans="1:2" x14ac:dyDescent="0.35">
      <c r="A655" s="12" t="s">
        <v>1280</v>
      </c>
      <c r="B655" s="9" t="s">
        <v>1279</v>
      </c>
    </row>
    <row r="656" spans="1:2" x14ac:dyDescent="0.35">
      <c r="A656" s="12" t="s">
        <v>1009</v>
      </c>
      <c r="B656" s="9" t="s">
        <v>1008</v>
      </c>
    </row>
    <row r="657" spans="1:2" x14ac:dyDescent="0.35">
      <c r="A657" s="12" t="s">
        <v>962</v>
      </c>
      <c r="B657" s="9" t="s">
        <v>961</v>
      </c>
    </row>
    <row r="658" spans="1:2" x14ac:dyDescent="0.35">
      <c r="A658" s="12" t="s">
        <v>298</v>
      </c>
      <c r="B658" s="9" t="s">
        <v>65</v>
      </c>
    </row>
    <row r="659" spans="1:2" x14ac:dyDescent="0.35">
      <c r="A659" s="12" t="s">
        <v>1282</v>
      </c>
      <c r="B659" s="9" t="s">
        <v>1281</v>
      </c>
    </row>
    <row r="660" spans="1:2" x14ac:dyDescent="0.35">
      <c r="A660" s="12" t="s">
        <v>1286</v>
      </c>
      <c r="B660" s="9" t="s">
        <v>1285</v>
      </c>
    </row>
    <row r="661" spans="1:2" x14ac:dyDescent="0.35">
      <c r="A661" s="12" t="s">
        <v>301</v>
      </c>
      <c r="B661" s="9" t="s">
        <v>669</v>
      </c>
    </row>
    <row r="662" spans="1:2" x14ac:dyDescent="0.35">
      <c r="A662" s="12" t="s">
        <v>849</v>
      </c>
      <c r="B662" s="9" t="s">
        <v>848</v>
      </c>
    </row>
    <row r="663" spans="1:2" x14ac:dyDescent="0.35">
      <c r="A663" s="12" t="s">
        <v>1189</v>
      </c>
      <c r="B663" s="9" t="s">
        <v>1188</v>
      </c>
    </row>
    <row r="664" spans="1:2" x14ac:dyDescent="0.35">
      <c r="A664" s="12" t="s">
        <v>1294</v>
      </c>
      <c r="B664" s="9" t="s">
        <v>1292</v>
      </c>
    </row>
    <row r="665" spans="1:2" x14ac:dyDescent="0.35">
      <c r="A665" s="12" t="s">
        <v>587</v>
      </c>
      <c r="B665" s="9" t="s">
        <v>562</v>
      </c>
    </row>
    <row r="666" spans="1:2" x14ac:dyDescent="0.35">
      <c r="A666" s="12" t="s">
        <v>1270</v>
      </c>
      <c r="B666" s="9" t="s">
        <v>198</v>
      </c>
    </row>
    <row r="667" spans="1:2" x14ac:dyDescent="0.35">
      <c r="A667" s="12" t="s">
        <v>1307</v>
      </c>
      <c r="B667" s="9" t="s">
        <v>1306</v>
      </c>
    </row>
    <row r="668" spans="1:2" x14ac:dyDescent="0.35">
      <c r="A668" s="12" t="s">
        <v>1180</v>
      </c>
      <c r="B668" s="9" t="s">
        <v>1179</v>
      </c>
    </row>
    <row r="669" spans="1:2" x14ac:dyDescent="0.35">
      <c r="A669" s="12" t="s">
        <v>1222</v>
      </c>
      <c r="B669" s="9" t="s">
        <v>769</v>
      </c>
    </row>
    <row r="670" spans="1:2" x14ac:dyDescent="0.35">
      <c r="A670" s="12" t="s">
        <v>1300</v>
      </c>
      <c r="B670" s="9" t="s">
        <v>1299</v>
      </c>
    </row>
    <row r="671" spans="1:2" x14ac:dyDescent="0.35">
      <c r="A671" s="13" t="s">
        <v>1314</v>
      </c>
      <c r="B671" s="9" t="s">
        <v>1313</v>
      </c>
    </row>
    <row r="672" spans="1:2" x14ac:dyDescent="0.35">
      <c r="A672" s="13" t="s">
        <v>1324</v>
      </c>
      <c r="B672" s="9" t="s">
        <v>1325</v>
      </c>
    </row>
    <row r="673" spans="1:2" x14ac:dyDescent="0.35">
      <c r="A673" s="13" t="s">
        <v>1326</v>
      </c>
      <c r="B673" s="9" t="s">
        <v>1327</v>
      </c>
    </row>
    <row r="674" spans="1:2" x14ac:dyDescent="0.35">
      <c r="A674" s="13" t="s">
        <v>1330</v>
      </c>
      <c r="B674" s="9" t="s">
        <v>696</v>
      </c>
    </row>
    <row r="675" spans="1:2" x14ac:dyDescent="0.35">
      <c r="A675" s="13" t="s">
        <v>1349</v>
      </c>
      <c r="B675" s="9" t="s">
        <v>1350</v>
      </c>
    </row>
    <row r="676" spans="1:2" x14ac:dyDescent="0.35">
      <c r="A676" s="13" t="s">
        <v>1630</v>
      </c>
      <c r="B676" s="9" t="s">
        <v>1638</v>
      </c>
    </row>
    <row r="677" spans="1:2" x14ac:dyDescent="0.35">
      <c r="A677" s="13" t="s">
        <v>953</v>
      </c>
      <c r="B677" s="9" t="s">
        <v>952</v>
      </c>
    </row>
    <row r="678" spans="1:2" x14ac:dyDescent="0.35">
      <c r="A678" s="13" t="s">
        <v>966</v>
      </c>
      <c r="B678" s="9" t="s">
        <v>965</v>
      </c>
    </row>
    <row r="679" spans="1:2" x14ac:dyDescent="0.35">
      <c r="A679" s="13" t="s">
        <v>1124</v>
      </c>
      <c r="B679" s="9" t="s">
        <v>461</v>
      </c>
    </row>
    <row r="680" spans="1:2" x14ac:dyDescent="0.35">
      <c r="A680" s="13" t="s">
        <v>364</v>
      </c>
      <c r="B680" s="9" t="s">
        <v>363</v>
      </c>
    </row>
    <row r="681" spans="1:2" x14ac:dyDescent="0.35">
      <c r="A681" s="13" t="s">
        <v>1172</v>
      </c>
      <c r="B681" s="9" t="s">
        <v>1171</v>
      </c>
    </row>
    <row r="682" spans="1:2" x14ac:dyDescent="0.35">
      <c r="A682" s="13" t="s">
        <v>1278</v>
      </c>
      <c r="B682" s="9" t="s">
        <v>1277</v>
      </c>
    </row>
    <row r="683" spans="1:2" x14ac:dyDescent="0.35">
      <c r="A683" s="13" t="s">
        <v>1289</v>
      </c>
      <c r="B683" s="9" t="s">
        <v>1288</v>
      </c>
    </row>
    <row r="684" spans="1:2" x14ac:dyDescent="0.35">
      <c r="A684" s="13" t="s">
        <v>1291</v>
      </c>
      <c r="B684" s="9" t="s">
        <v>1238</v>
      </c>
    </row>
    <row r="685" spans="1:2" x14ac:dyDescent="0.35">
      <c r="A685" s="13" t="s">
        <v>1187</v>
      </c>
      <c r="B685" s="9" t="s">
        <v>1186</v>
      </c>
    </row>
    <row r="686" spans="1:2" x14ac:dyDescent="0.35">
      <c r="A686" s="13" t="s">
        <v>1294</v>
      </c>
      <c r="B686" s="9" t="s">
        <v>1292</v>
      </c>
    </row>
    <row r="687" spans="1:2" x14ac:dyDescent="0.35">
      <c r="A687" s="13" t="s">
        <v>1314</v>
      </c>
      <c r="B687" s="9" t="s">
        <v>1313</v>
      </c>
    </row>
    <row r="688" spans="1:2" x14ac:dyDescent="0.35">
      <c r="A688" s="13" t="s">
        <v>1305</v>
      </c>
      <c r="B688" s="9" t="s">
        <v>1190</v>
      </c>
    </row>
    <row r="691" s="10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2504-D0A3-41D0-94BB-0861A64390ED}">
  <dimension ref="A1:C390"/>
  <sheetViews>
    <sheetView workbookViewId="0">
      <selection activeCell="D3" sqref="D3"/>
    </sheetView>
  </sheetViews>
  <sheetFormatPr defaultRowHeight="14.5" x14ac:dyDescent="0.35"/>
  <cols>
    <col min="1" max="1" width="17" bestFit="1" customWidth="1"/>
    <col min="2" max="2" width="29.6328125" bestFit="1" customWidth="1"/>
    <col min="3" max="3" width="13.90625" bestFit="1" customWidth="1"/>
    <col min="6" max="6" width="10.90625" bestFit="1" customWidth="1"/>
    <col min="7" max="7" width="15.1796875" bestFit="1" customWidth="1"/>
    <col min="8" max="8" width="12.90625" bestFit="1" customWidth="1"/>
    <col min="9" max="9" width="13.81640625" bestFit="1" customWidth="1"/>
    <col min="10" max="11" width="13.54296875" bestFit="1" customWidth="1"/>
    <col min="12" max="12" width="28.6328125" bestFit="1" customWidth="1"/>
    <col min="13" max="13" width="17.90625" bestFit="1" customWidth="1"/>
    <col min="14" max="14" width="12.36328125" bestFit="1" customWidth="1"/>
    <col min="15" max="15" width="22.6328125" bestFit="1" customWidth="1"/>
  </cols>
  <sheetData>
    <row r="1" spans="1:3" ht="29" x14ac:dyDescent="0.35">
      <c r="A1" s="8" t="s">
        <v>1250</v>
      </c>
      <c r="B1" s="8" t="s">
        <v>287</v>
      </c>
      <c r="C1" s="8" t="s">
        <v>1248</v>
      </c>
    </row>
    <row r="2" spans="1:3" x14ac:dyDescent="0.35">
      <c r="A2" s="25" t="s">
        <v>246</v>
      </c>
      <c r="B2" s="6" t="s">
        <v>428</v>
      </c>
      <c r="C2" s="7">
        <v>8091000</v>
      </c>
    </row>
    <row r="3" spans="1:3" x14ac:dyDescent="0.35">
      <c r="A3" s="25" t="s">
        <v>237</v>
      </c>
      <c r="B3" s="6" t="s">
        <v>553</v>
      </c>
      <c r="C3" s="7">
        <v>8091000</v>
      </c>
    </row>
    <row r="4" spans="1:3" x14ac:dyDescent="0.35">
      <c r="A4" s="25" t="s">
        <v>264</v>
      </c>
      <c r="B4" s="6" t="s">
        <v>320</v>
      </c>
      <c r="C4" s="7">
        <v>8091000</v>
      </c>
    </row>
    <row r="5" spans="1:3" x14ac:dyDescent="0.35">
      <c r="A5" s="25" t="s">
        <v>753</v>
      </c>
      <c r="B5" s="6" t="s">
        <v>268</v>
      </c>
      <c r="C5" s="7">
        <v>8091000</v>
      </c>
    </row>
    <row r="6" spans="1:3" x14ac:dyDescent="0.35">
      <c r="A6" s="25" t="s">
        <v>594</v>
      </c>
      <c r="B6" s="6" t="s">
        <v>168</v>
      </c>
      <c r="C6" s="7">
        <v>8091000</v>
      </c>
    </row>
    <row r="7" spans="1:3" x14ac:dyDescent="0.35">
      <c r="A7" s="25" t="s">
        <v>784</v>
      </c>
      <c r="B7" s="6" t="s">
        <v>1012</v>
      </c>
      <c r="C7" s="7">
        <v>8091000</v>
      </c>
    </row>
    <row r="8" spans="1:3" x14ac:dyDescent="0.35">
      <c r="A8" s="25" t="s">
        <v>169</v>
      </c>
      <c r="B8" s="6" t="s">
        <v>199</v>
      </c>
      <c r="C8" s="7">
        <v>8091000</v>
      </c>
    </row>
    <row r="9" spans="1:3" x14ac:dyDescent="0.35">
      <c r="A9" s="25" t="s">
        <v>403</v>
      </c>
      <c r="B9" s="6" t="s">
        <v>402</v>
      </c>
      <c r="C9" s="7">
        <v>8091000</v>
      </c>
    </row>
    <row r="10" spans="1:3" x14ac:dyDescent="0.35">
      <c r="A10" s="25" t="s">
        <v>250</v>
      </c>
      <c r="B10" s="6" t="s">
        <v>64</v>
      </c>
      <c r="C10" s="7">
        <v>8091000</v>
      </c>
    </row>
    <row r="11" spans="1:3" x14ac:dyDescent="0.35">
      <c r="A11" s="25" t="s">
        <v>536</v>
      </c>
      <c r="B11" s="6" t="s">
        <v>789</v>
      </c>
      <c r="C11" s="7">
        <v>8091000</v>
      </c>
    </row>
    <row r="12" spans="1:3" x14ac:dyDescent="0.35">
      <c r="A12" s="25" t="s">
        <v>614</v>
      </c>
      <c r="B12" s="6" t="s">
        <v>572</v>
      </c>
      <c r="C12" s="7">
        <v>8091000</v>
      </c>
    </row>
    <row r="13" spans="1:3" x14ac:dyDescent="0.35">
      <c r="A13" s="25" t="s">
        <v>291</v>
      </c>
      <c r="B13" s="6" t="s">
        <v>213</v>
      </c>
      <c r="C13" s="7">
        <v>8091000</v>
      </c>
    </row>
    <row r="14" spans="1:3" x14ac:dyDescent="0.35">
      <c r="A14" s="25" t="s">
        <v>612</v>
      </c>
      <c r="B14" s="6" t="s">
        <v>292</v>
      </c>
      <c r="C14" s="7">
        <v>8181000</v>
      </c>
    </row>
    <row r="15" spans="1:3" x14ac:dyDescent="0.35">
      <c r="A15" s="25" t="s">
        <v>725</v>
      </c>
      <c r="B15" s="6" t="s">
        <v>670</v>
      </c>
      <c r="C15" s="7">
        <v>8181000</v>
      </c>
    </row>
    <row r="16" spans="1:3" x14ac:dyDescent="0.35">
      <c r="A16" s="25" t="s">
        <v>207</v>
      </c>
      <c r="B16" s="6" t="s">
        <v>206</v>
      </c>
      <c r="C16" s="7">
        <v>8091000</v>
      </c>
    </row>
    <row r="17" spans="1:3" x14ac:dyDescent="0.35">
      <c r="A17" s="25" t="s">
        <v>401</v>
      </c>
      <c r="B17" s="6" t="s">
        <v>81</v>
      </c>
      <c r="C17" s="7">
        <v>8091000</v>
      </c>
    </row>
    <row r="18" spans="1:3" x14ac:dyDescent="0.35">
      <c r="A18" s="25" t="s">
        <v>731</v>
      </c>
      <c r="B18" s="6" t="s">
        <v>730</v>
      </c>
      <c r="C18" s="7">
        <v>8091000</v>
      </c>
    </row>
    <row r="19" spans="1:3" x14ac:dyDescent="0.35">
      <c r="A19" s="25" t="s">
        <v>200</v>
      </c>
      <c r="B19" s="6" t="s">
        <v>733</v>
      </c>
      <c r="C19" s="7">
        <v>8091000</v>
      </c>
    </row>
    <row r="20" spans="1:3" x14ac:dyDescent="0.35">
      <c r="A20" s="25" t="s">
        <v>686</v>
      </c>
      <c r="B20" s="6" t="s">
        <v>535</v>
      </c>
      <c r="C20" s="7">
        <v>8091000</v>
      </c>
    </row>
    <row r="21" spans="1:3" x14ac:dyDescent="0.35">
      <c r="A21" s="25" t="s">
        <v>460</v>
      </c>
      <c r="B21" s="6" t="s">
        <v>202</v>
      </c>
      <c r="C21" s="7">
        <v>8091000</v>
      </c>
    </row>
    <row r="22" spans="1:3" x14ac:dyDescent="0.35">
      <c r="A22" s="25" t="s">
        <v>507</v>
      </c>
      <c r="B22" s="6" t="s">
        <v>482</v>
      </c>
      <c r="C22" s="7">
        <v>8091000</v>
      </c>
    </row>
    <row r="23" spans="1:3" x14ac:dyDescent="0.35">
      <c r="A23" s="25" t="s">
        <v>457</v>
      </c>
      <c r="B23" s="6" t="s">
        <v>450</v>
      </c>
      <c r="C23" s="7">
        <v>8091000</v>
      </c>
    </row>
    <row r="24" spans="1:3" x14ac:dyDescent="0.35">
      <c r="A24" s="25" t="s">
        <v>394</v>
      </c>
      <c r="B24" s="6" t="s">
        <v>459</v>
      </c>
      <c r="C24" s="7">
        <v>8091000</v>
      </c>
    </row>
    <row r="25" spans="1:3" x14ac:dyDescent="0.35">
      <c r="A25" s="25" t="s">
        <v>293</v>
      </c>
      <c r="B25" s="6" t="s">
        <v>782</v>
      </c>
      <c r="C25" s="7">
        <v>8091000</v>
      </c>
    </row>
    <row r="26" spans="1:3" x14ac:dyDescent="0.35">
      <c r="A26" s="25" t="s">
        <v>574</v>
      </c>
      <c r="B26" s="6" t="s">
        <v>573</v>
      </c>
      <c r="C26" s="7">
        <v>8091000</v>
      </c>
    </row>
    <row r="27" spans="1:3" x14ac:dyDescent="0.35">
      <c r="A27" s="25" t="s">
        <v>197</v>
      </c>
      <c r="B27" s="6" t="s">
        <v>489</v>
      </c>
      <c r="C27" s="7">
        <v>8091000</v>
      </c>
    </row>
    <row r="28" spans="1:3" x14ac:dyDescent="0.35">
      <c r="A28" s="25" t="s">
        <v>515</v>
      </c>
      <c r="B28" s="6" t="s">
        <v>514</v>
      </c>
      <c r="C28" s="7">
        <v>8091000</v>
      </c>
    </row>
    <row r="29" spans="1:3" x14ac:dyDescent="0.35">
      <c r="A29" s="25" t="s">
        <v>691</v>
      </c>
      <c r="B29" s="6" t="s">
        <v>690</v>
      </c>
      <c r="C29" s="7">
        <v>8091000</v>
      </c>
    </row>
    <row r="30" spans="1:3" x14ac:dyDescent="0.35">
      <c r="A30" s="25" t="s">
        <v>586</v>
      </c>
      <c r="B30" s="6" t="s">
        <v>693</v>
      </c>
      <c r="C30" s="7">
        <v>8091000</v>
      </c>
    </row>
    <row r="31" spans="1:3" x14ac:dyDescent="0.35">
      <c r="A31" s="25" t="s">
        <v>135</v>
      </c>
      <c r="B31" s="6" t="s">
        <v>42</v>
      </c>
      <c r="C31" s="7">
        <v>8091000</v>
      </c>
    </row>
    <row r="32" spans="1:3" x14ac:dyDescent="0.35">
      <c r="A32" s="25" t="s">
        <v>620</v>
      </c>
      <c r="B32" s="6" t="s">
        <v>645</v>
      </c>
      <c r="C32" s="7">
        <v>8091000</v>
      </c>
    </row>
    <row r="33" spans="1:3" x14ac:dyDescent="0.35">
      <c r="A33" s="25" t="s">
        <v>592</v>
      </c>
      <c r="B33" s="6" t="s">
        <v>145</v>
      </c>
      <c r="C33" s="7">
        <v>8091000</v>
      </c>
    </row>
    <row r="34" spans="1:3" x14ac:dyDescent="0.35">
      <c r="A34" s="25" t="s">
        <v>347</v>
      </c>
      <c r="B34" s="6" t="s">
        <v>697</v>
      </c>
      <c r="C34" s="7">
        <v>8091000</v>
      </c>
    </row>
    <row r="35" spans="1:3" x14ac:dyDescent="0.35">
      <c r="A35" s="25" t="s">
        <v>90</v>
      </c>
      <c r="B35" s="6" t="s">
        <v>89</v>
      </c>
      <c r="C35" s="7">
        <v>8091000</v>
      </c>
    </row>
    <row r="36" spans="1:3" x14ac:dyDescent="0.35">
      <c r="A36" s="25" t="s">
        <v>579</v>
      </c>
      <c r="B36" s="6" t="s">
        <v>349</v>
      </c>
      <c r="C36" s="7">
        <v>8091000</v>
      </c>
    </row>
    <row r="37" spans="1:3" x14ac:dyDescent="0.35">
      <c r="A37" s="25" t="s">
        <v>477</v>
      </c>
      <c r="B37" s="6" t="s">
        <v>392</v>
      </c>
      <c r="C37" s="7">
        <v>8091000</v>
      </c>
    </row>
    <row r="38" spans="1:3" x14ac:dyDescent="0.35">
      <c r="A38" s="25" t="s">
        <v>68</v>
      </c>
      <c r="B38" s="6" t="s">
        <v>426</v>
      </c>
      <c r="C38" s="7">
        <v>8091000</v>
      </c>
    </row>
    <row r="39" spans="1:3" x14ac:dyDescent="0.35">
      <c r="A39" s="25" t="s">
        <v>550</v>
      </c>
      <c r="B39" s="6" t="s">
        <v>647</v>
      </c>
      <c r="C39" s="7">
        <v>8091000</v>
      </c>
    </row>
    <row r="40" spans="1:3" x14ac:dyDescent="0.35">
      <c r="A40" s="25" t="s">
        <v>55</v>
      </c>
      <c r="B40" s="6" t="s">
        <v>54</v>
      </c>
      <c r="C40" s="7">
        <v>8091000</v>
      </c>
    </row>
    <row r="41" spans="1:3" x14ac:dyDescent="0.35">
      <c r="A41" s="25" t="s">
        <v>522</v>
      </c>
      <c r="B41" s="6" t="s">
        <v>521</v>
      </c>
      <c r="C41" s="7">
        <v>8181000</v>
      </c>
    </row>
    <row r="42" spans="1:3" x14ac:dyDescent="0.35">
      <c r="A42" s="25" t="s">
        <v>555</v>
      </c>
      <c r="B42" s="6" t="s">
        <v>582</v>
      </c>
      <c r="C42" s="7">
        <v>8091000</v>
      </c>
    </row>
    <row r="43" spans="1:3" x14ac:dyDescent="0.35">
      <c r="A43" s="25" t="s">
        <v>766</v>
      </c>
      <c r="B43" s="6" t="s">
        <v>557</v>
      </c>
      <c r="C43" s="7">
        <v>8091000</v>
      </c>
    </row>
    <row r="44" spans="1:3" x14ac:dyDescent="0.35">
      <c r="A44" s="25" t="s">
        <v>209</v>
      </c>
      <c r="B44" s="6" t="s">
        <v>427</v>
      </c>
      <c r="C44" s="7">
        <v>8091000</v>
      </c>
    </row>
    <row r="45" spans="1:3" x14ac:dyDescent="0.35">
      <c r="A45" s="25" t="s">
        <v>654</v>
      </c>
      <c r="B45" s="6" t="s">
        <v>636</v>
      </c>
      <c r="C45" s="7">
        <v>8181000</v>
      </c>
    </row>
    <row r="46" spans="1:3" x14ac:dyDescent="0.35">
      <c r="A46" s="25" t="s">
        <v>379</v>
      </c>
      <c r="B46" s="6" t="s">
        <v>378</v>
      </c>
      <c r="C46" s="7">
        <v>8091000</v>
      </c>
    </row>
    <row r="47" spans="1:3" x14ac:dyDescent="0.35">
      <c r="A47" s="25" t="s">
        <v>454</v>
      </c>
      <c r="B47" s="6" t="s">
        <v>231</v>
      </c>
      <c r="C47" s="7">
        <v>8091000</v>
      </c>
    </row>
    <row r="48" spans="1:3" x14ac:dyDescent="0.35">
      <c r="A48" s="25" t="s">
        <v>1206</v>
      </c>
      <c r="B48" s="6" t="s">
        <v>40</v>
      </c>
      <c r="C48" s="7">
        <v>8091000</v>
      </c>
    </row>
    <row r="49" spans="1:3" x14ac:dyDescent="0.35">
      <c r="A49" s="25" t="s">
        <v>643</v>
      </c>
      <c r="B49" s="6" t="s">
        <v>439</v>
      </c>
      <c r="C49" s="7">
        <v>8091000</v>
      </c>
    </row>
    <row r="50" spans="1:3" x14ac:dyDescent="0.35">
      <c r="A50" s="25" t="s">
        <v>28</v>
      </c>
      <c r="B50" s="6" t="s">
        <v>27</v>
      </c>
      <c r="C50" s="7">
        <v>8091000</v>
      </c>
    </row>
    <row r="51" spans="1:3" x14ac:dyDescent="0.35">
      <c r="A51" s="25" t="s">
        <v>649</v>
      </c>
      <c r="B51" s="6" t="s">
        <v>467</v>
      </c>
      <c r="C51" s="7">
        <v>8091000</v>
      </c>
    </row>
    <row r="52" spans="1:3" x14ac:dyDescent="0.35">
      <c r="A52" s="25" t="s">
        <v>786</v>
      </c>
      <c r="B52" s="6" t="s">
        <v>60</v>
      </c>
      <c r="C52" s="7">
        <v>8091000</v>
      </c>
    </row>
    <row r="53" spans="1:3" x14ac:dyDescent="0.35">
      <c r="A53" s="25" t="s">
        <v>308</v>
      </c>
      <c r="B53" s="6" t="s">
        <v>767</v>
      </c>
      <c r="C53" s="7">
        <v>8091000</v>
      </c>
    </row>
    <row r="54" spans="1:3" x14ac:dyDescent="0.35">
      <c r="A54" s="25" t="s">
        <v>1207</v>
      </c>
      <c r="B54" s="6" t="s">
        <v>309</v>
      </c>
      <c r="C54" s="7">
        <v>8091000</v>
      </c>
    </row>
    <row r="55" spans="1:3" x14ac:dyDescent="0.35">
      <c r="A55" s="25" t="s">
        <v>385</v>
      </c>
      <c r="B55" s="6" t="s">
        <v>344</v>
      </c>
      <c r="C55" s="7">
        <v>8091000</v>
      </c>
    </row>
    <row r="56" spans="1:3" x14ac:dyDescent="0.35">
      <c r="A56" s="25" t="s">
        <v>219</v>
      </c>
      <c r="B56" s="6" t="s">
        <v>218</v>
      </c>
      <c r="C56" s="7">
        <v>8091000</v>
      </c>
    </row>
    <row r="57" spans="1:3" x14ac:dyDescent="0.35">
      <c r="A57" s="25" t="s">
        <v>382</v>
      </c>
      <c r="B57" s="6" t="s">
        <v>537</v>
      </c>
      <c r="C57" s="7">
        <v>8091000</v>
      </c>
    </row>
    <row r="58" spans="1:3" x14ac:dyDescent="0.35">
      <c r="A58" s="25" t="s">
        <v>676</v>
      </c>
      <c r="B58" s="6" t="s">
        <v>648</v>
      </c>
      <c r="C58" s="7">
        <v>8091000</v>
      </c>
    </row>
    <row r="59" spans="1:3" x14ac:dyDescent="0.35">
      <c r="A59" s="25" t="s">
        <v>773</v>
      </c>
      <c r="B59" s="6" t="s">
        <v>44</v>
      </c>
      <c r="C59" s="7">
        <v>8091000</v>
      </c>
    </row>
    <row r="60" spans="1:3" x14ac:dyDescent="0.35">
      <c r="A60" s="25" t="s">
        <v>785</v>
      </c>
      <c r="B60" s="6" t="s">
        <v>38</v>
      </c>
      <c r="C60" s="7">
        <v>8091000</v>
      </c>
    </row>
    <row r="61" spans="1:3" x14ac:dyDescent="0.35">
      <c r="A61" s="25" t="s">
        <v>46</v>
      </c>
      <c r="B61" s="6" t="s">
        <v>45</v>
      </c>
      <c r="C61" s="7">
        <v>8091000</v>
      </c>
    </row>
    <row r="62" spans="1:3" x14ac:dyDescent="0.35">
      <c r="A62" s="25" t="s">
        <v>589</v>
      </c>
      <c r="B62" s="6" t="s">
        <v>942</v>
      </c>
      <c r="C62" s="7">
        <v>8091000</v>
      </c>
    </row>
    <row r="63" spans="1:3" x14ac:dyDescent="0.35">
      <c r="A63" s="25" t="s">
        <v>137</v>
      </c>
      <c r="B63" s="6" t="s">
        <v>134</v>
      </c>
      <c r="C63" s="7">
        <v>8091000</v>
      </c>
    </row>
    <row r="64" spans="1:3" x14ac:dyDescent="0.35">
      <c r="A64" s="25" t="s">
        <v>488</v>
      </c>
      <c r="B64" s="6" t="s">
        <v>217</v>
      </c>
      <c r="C64" s="7">
        <v>8091000</v>
      </c>
    </row>
    <row r="65" spans="1:3" x14ac:dyDescent="0.35">
      <c r="A65" s="25" t="s">
        <v>253</v>
      </c>
      <c r="B65" s="6" t="s">
        <v>108</v>
      </c>
      <c r="C65" s="7">
        <v>8091000</v>
      </c>
    </row>
    <row r="66" spans="1:3" x14ac:dyDescent="0.35">
      <c r="A66" s="25" t="s">
        <v>794</v>
      </c>
      <c r="B66" s="6" t="s">
        <v>768</v>
      </c>
      <c r="C66" s="7">
        <v>8091000</v>
      </c>
    </row>
    <row r="67" spans="1:3" x14ac:dyDescent="0.35">
      <c r="A67" s="25" t="s">
        <v>583</v>
      </c>
      <c r="B67" s="6" t="s">
        <v>519</v>
      </c>
      <c r="C67" s="7">
        <v>8091000</v>
      </c>
    </row>
    <row r="68" spans="1:3" x14ac:dyDescent="0.35">
      <c r="A68" s="25" t="s">
        <v>1100</v>
      </c>
      <c r="B68" s="6" t="s">
        <v>226</v>
      </c>
      <c r="C68" s="7">
        <v>8091000</v>
      </c>
    </row>
    <row r="69" spans="1:3" x14ac:dyDescent="0.35">
      <c r="A69" s="25" t="s">
        <v>711</v>
      </c>
      <c r="B69" s="6" t="s">
        <v>192</v>
      </c>
      <c r="C69" s="7">
        <v>8091000</v>
      </c>
    </row>
    <row r="70" spans="1:3" x14ac:dyDescent="0.35">
      <c r="A70" s="25" t="s">
        <v>358</v>
      </c>
      <c r="B70" s="6" t="s">
        <v>357</v>
      </c>
      <c r="C70" s="7">
        <v>8091000</v>
      </c>
    </row>
    <row r="71" spans="1:3" x14ac:dyDescent="0.35">
      <c r="A71" s="25" t="s">
        <v>166</v>
      </c>
      <c r="B71" s="6" t="s">
        <v>695</v>
      </c>
      <c r="C71" s="7">
        <v>8091000</v>
      </c>
    </row>
    <row r="72" spans="1:3" x14ac:dyDescent="0.35">
      <c r="A72" s="25" t="s">
        <v>125</v>
      </c>
      <c r="B72" s="6" t="s">
        <v>124</v>
      </c>
      <c r="C72" s="7">
        <v>8091000</v>
      </c>
    </row>
    <row r="73" spans="1:3" x14ac:dyDescent="0.35">
      <c r="A73" s="25" t="s">
        <v>329</v>
      </c>
      <c r="B73" s="6" t="s">
        <v>273</v>
      </c>
      <c r="C73" s="7">
        <v>8091000</v>
      </c>
    </row>
    <row r="74" spans="1:3" x14ac:dyDescent="0.35">
      <c r="A74" s="25" t="s">
        <v>119</v>
      </c>
      <c r="B74" s="6" t="s">
        <v>132</v>
      </c>
      <c r="C74" s="7">
        <v>8091000</v>
      </c>
    </row>
    <row r="75" spans="1:3" x14ac:dyDescent="0.35">
      <c r="A75" s="25" t="s">
        <v>502</v>
      </c>
      <c r="B75" s="6" t="s">
        <v>191</v>
      </c>
      <c r="C75" s="7">
        <v>8091000</v>
      </c>
    </row>
    <row r="76" spans="1:3" x14ac:dyDescent="0.35">
      <c r="A76" s="25" t="s">
        <v>1101</v>
      </c>
      <c r="B76" s="6" t="s">
        <v>399</v>
      </c>
      <c r="C76" s="7">
        <v>8091000</v>
      </c>
    </row>
    <row r="77" spans="1:3" x14ac:dyDescent="0.35">
      <c r="A77" s="25" t="s">
        <v>1102</v>
      </c>
      <c r="B77" s="6" t="s">
        <v>303</v>
      </c>
      <c r="C77" s="7">
        <v>8091000</v>
      </c>
    </row>
    <row r="78" spans="1:3" x14ac:dyDescent="0.35">
      <c r="A78" s="25" t="s">
        <v>93</v>
      </c>
      <c r="B78" s="6" t="s">
        <v>92</v>
      </c>
      <c r="C78" s="7">
        <v>8091000</v>
      </c>
    </row>
    <row r="79" spans="1:3" x14ac:dyDescent="0.35">
      <c r="A79" s="25" t="s">
        <v>373</v>
      </c>
      <c r="B79" s="6" t="s">
        <v>627</v>
      </c>
      <c r="C79" s="7">
        <v>8091000</v>
      </c>
    </row>
    <row r="80" spans="1:3" x14ac:dyDescent="0.35">
      <c r="A80" s="25" t="s">
        <v>764</v>
      </c>
      <c r="B80" s="6" t="s">
        <v>763</v>
      </c>
      <c r="C80" s="7">
        <v>8091000</v>
      </c>
    </row>
    <row r="81" spans="1:3" x14ac:dyDescent="0.35">
      <c r="A81" s="25" t="s">
        <v>255</v>
      </c>
      <c r="B81" s="6" t="s">
        <v>538</v>
      </c>
      <c r="C81" s="7">
        <v>8181000</v>
      </c>
    </row>
    <row r="82" spans="1:3" x14ac:dyDescent="0.35">
      <c r="A82" s="25" t="s">
        <v>128</v>
      </c>
      <c r="B82" s="6" t="s">
        <v>346</v>
      </c>
      <c r="C82" s="7">
        <v>8091000</v>
      </c>
    </row>
    <row r="83" spans="1:3" x14ac:dyDescent="0.35">
      <c r="A83" s="25" t="s">
        <v>718</v>
      </c>
      <c r="B83" s="6" t="s">
        <v>511</v>
      </c>
      <c r="C83" s="7">
        <v>8091000</v>
      </c>
    </row>
    <row r="84" spans="1:3" x14ac:dyDescent="0.35">
      <c r="A84" s="25" t="s">
        <v>383</v>
      </c>
      <c r="B84" s="6" t="s">
        <v>162</v>
      </c>
      <c r="C84" s="7">
        <v>8091000</v>
      </c>
    </row>
    <row r="85" spans="1:3" x14ac:dyDescent="0.35">
      <c r="A85" s="25" t="s">
        <v>39</v>
      </c>
      <c r="B85" s="6" t="s">
        <v>779</v>
      </c>
      <c r="C85" s="7">
        <v>8091000</v>
      </c>
    </row>
    <row r="86" spans="1:3" x14ac:dyDescent="0.35">
      <c r="A86" s="25" t="s">
        <v>72</v>
      </c>
      <c r="B86" s="6" t="s">
        <v>424</v>
      </c>
      <c r="C86" s="7">
        <v>8091000</v>
      </c>
    </row>
    <row r="87" spans="1:3" x14ac:dyDescent="0.35">
      <c r="A87" s="25" t="s">
        <v>179</v>
      </c>
      <c r="B87" s="6" t="s">
        <v>506</v>
      </c>
      <c r="C87" s="7">
        <v>8091000</v>
      </c>
    </row>
    <row r="88" spans="1:3" x14ac:dyDescent="0.35">
      <c r="A88" s="25" t="s">
        <v>114</v>
      </c>
      <c r="B88" s="6" t="s">
        <v>27</v>
      </c>
      <c r="C88" s="7">
        <v>8091000</v>
      </c>
    </row>
    <row r="89" spans="1:3" x14ac:dyDescent="0.35">
      <c r="A89" s="25" t="s">
        <v>529</v>
      </c>
      <c r="B89" s="6" t="s">
        <v>192</v>
      </c>
      <c r="C89" s="7">
        <v>8091000</v>
      </c>
    </row>
    <row r="90" spans="1:3" x14ac:dyDescent="0.35">
      <c r="A90" s="25" t="s">
        <v>642</v>
      </c>
      <c r="B90" s="6" t="s">
        <v>641</v>
      </c>
      <c r="C90" s="7">
        <v>8091000</v>
      </c>
    </row>
    <row r="91" spans="1:3" x14ac:dyDescent="0.35">
      <c r="A91" s="25" t="s">
        <v>317</v>
      </c>
      <c r="B91" s="6" t="s">
        <v>762</v>
      </c>
      <c r="C91" s="7">
        <v>8091000</v>
      </c>
    </row>
    <row r="92" spans="1:3" x14ac:dyDescent="0.35">
      <c r="A92" s="25" t="s">
        <v>319</v>
      </c>
      <c r="B92" s="6" t="s">
        <v>752</v>
      </c>
      <c r="C92" s="7">
        <v>8091000</v>
      </c>
    </row>
    <row r="93" spans="1:3" x14ac:dyDescent="0.35">
      <c r="A93" s="25" t="s">
        <v>584</v>
      </c>
      <c r="B93" s="6" t="s">
        <v>290</v>
      </c>
      <c r="C93" s="7">
        <v>8091000</v>
      </c>
    </row>
    <row r="94" spans="1:3" x14ac:dyDescent="0.35">
      <c r="A94" s="25" t="s">
        <v>714</v>
      </c>
      <c r="B94" s="6" t="s">
        <v>713</v>
      </c>
      <c r="C94" s="7">
        <v>8091000</v>
      </c>
    </row>
    <row r="95" spans="1:3" x14ac:dyDescent="0.35">
      <c r="A95" s="25" t="s">
        <v>326</v>
      </c>
      <c r="B95" s="6" t="s">
        <v>716</v>
      </c>
      <c r="C95" s="7">
        <v>8091000</v>
      </c>
    </row>
    <row r="96" spans="1:3" x14ac:dyDescent="0.35">
      <c r="A96" s="25" t="s">
        <v>1103</v>
      </c>
      <c r="B96" s="6" t="s">
        <v>525</v>
      </c>
      <c r="C96" s="7">
        <v>8181000</v>
      </c>
    </row>
    <row r="97" spans="1:3" x14ac:dyDescent="0.35">
      <c r="A97" s="25" t="s">
        <v>1104</v>
      </c>
      <c r="B97" s="6" t="s">
        <v>130</v>
      </c>
      <c r="C97" s="7">
        <v>8091000</v>
      </c>
    </row>
    <row r="98" spans="1:3" x14ac:dyDescent="0.35">
      <c r="A98" s="25" t="s">
        <v>313</v>
      </c>
      <c r="B98" s="6" t="s">
        <v>369</v>
      </c>
      <c r="C98" s="7">
        <v>8091000</v>
      </c>
    </row>
    <row r="99" spans="1:3" x14ac:dyDescent="0.35">
      <c r="A99" s="25" t="s">
        <v>1105</v>
      </c>
      <c r="B99" s="6" t="s">
        <v>314</v>
      </c>
      <c r="C99" s="7">
        <v>8091000</v>
      </c>
    </row>
    <row r="100" spans="1:3" x14ac:dyDescent="0.35">
      <c r="A100" s="25" t="s">
        <v>405</v>
      </c>
      <c r="B100" s="6" t="s">
        <v>404</v>
      </c>
      <c r="C100" s="7">
        <v>8091000</v>
      </c>
    </row>
    <row r="101" spans="1:3" x14ac:dyDescent="0.35">
      <c r="A101" s="25" t="s">
        <v>609</v>
      </c>
      <c r="B101" s="6" t="s">
        <v>608</v>
      </c>
      <c r="C101" s="7">
        <v>8091000</v>
      </c>
    </row>
    <row r="102" spans="1:3" x14ac:dyDescent="0.35">
      <c r="A102" s="25" t="s">
        <v>247</v>
      </c>
      <c r="B102" s="6" t="s">
        <v>610</v>
      </c>
      <c r="C102" s="7">
        <v>8091000</v>
      </c>
    </row>
    <row r="103" spans="1:3" x14ac:dyDescent="0.35">
      <c r="A103" s="25" t="s">
        <v>703</v>
      </c>
      <c r="B103" s="6" t="s">
        <v>248</v>
      </c>
      <c r="C103" s="7">
        <v>8091000</v>
      </c>
    </row>
    <row r="104" spans="1:3" x14ac:dyDescent="0.35">
      <c r="A104" s="25" t="s">
        <v>1209</v>
      </c>
      <c r="B104" s="6" t="s">
        <v>24</v>
      </c>
      <c r="C104" s="7">
        <v>8091000</v>
      </c>
    </row>
    <row r="105" spans="1:3" x14ac:dyDescent="0.35">
      <c r="A105" s="25" t="s">
        <v>487</v>
      </c>
      <c r="B105" s="6" t="s">
        <v>486</v>
      </c>
      <c r="C105" s="7">
        <v>8181000</v>
      </c>
    </row>
    <row r="106" spans="1:3" x14ac:dyDescent="0.35">
      <c r="A106" s="25" t="s">
        <v>35</v>
      </c>
      <c r="B106" s="6" t="s">
        <v>34</v>
      </c>
      <c r="C106" s="7">
        <v>8091000</v>
      </c>
    </row>
    <row r="107" spans="1:3" x14ac:dyDescent="0.35">
      <c r="A107" s="25" t="s">
        <v>771</v>
      </c>
      <c r="B107" s="6" t="s">
        <v>22</v>
      </c>
      <c r="C107" s="7">
        <v>8091000</v>
      </c>
    </row>
    <row r="108" spans="1:3" x14ac:dyDescent="0.35">
      <c r="A108" s="25" t="s">
        <v>790</v>
      </c>
      <c r="B108" s="6" t="s">
        <v>470</v>
      </c>
      <c r="C108" s="7">
        <v>8091000</v>
      </c>
    </row>
    <row r="109" spans="1:3" x14ac:dyDescent="0.35">
      <c r="A109" s="25" t="s">
        <v>1106</v>
      </c>
      <c r="B109" s="6" t="s">
        <v>149</v>
      </c>
      <c r="C109" s="7">
        <v>8091000</v>
      </c>
    </row>
    <row r="110" spans="1:3" x14ac:dyDescent="0.35">
      <c r="A110" s="25" t="s">
        <v>353</v>
      </c>
      <c r="B110" s="6" t="s">
        <v>593</v>
      </c>
      <c r="C110" s="7">
        <v>8091000</v>
      </c>
    </row>
    <row r="111" spans="1:3" x14ac:dyDescent="0.35">
      <c r="A111" s="25" t="s">
        <v>21</v>
      </c>
      <c r="B111" s="6" t="s">
        <v>20</v>
      </c>
      <c r="C111" s="7">
        <v>8091000</v>
      </c>
    </row>
    <row r="112" spans="1:3" x14ac:dyDescent="0.35">
      <c r="A112" s="25" t="s">
        <v>1107</v>
      </c>
      <c r="B112" s="6" t="s">
        <v>195</v>
      </c>
      <c r="C112" s="7">
        <v>8091000</v>
      </c>
    </row>
    <row r="113" spans="1:3" x14ac:dyDescent="0.35">
      <c r="A113" s="25" t="s">
        <v>122</v>
      </c>
      <c r="B113" s="6" t="s">
        <v>196</v>
      </c>
      <c r="C113" s="7">
        <v>8091000</v>
      </c>
    </row>
    <row r="114" spans="1:3" x14ac:dyDescent="0.35">
      <c r="A114" s="25" t="s">
        <v>1108</v>
      </c>
      <c r="B114" s="6" t="s">
        <v>224</v>
      </c>
      <c r="C114" s="7">
        <v>8091000</v>
      </c>
    </row>
    <row r="115" spans="1:3" x14ac:dyDescent="0.35">
      <c r="A115" s="25" t="s">
        <v>227</v>
      </c>
      <c r="B115" s="6" t="s">
        <v>754</v>
      </c>
      <c r="C115" s="7">
        <v>8091000</v>
      </c>
    </row>
    <row r="116" spans="1:3" x14ac:dyDescent="0.35">
      <c r="A116" s="25" t="s">
        <v>651</v>
      </c>
      <c r="B116" s="6" t="s">
        <v>751</v>
      </c>
      <c r="C116" s="7">
        <v>8091000</v>
      </c>
    </row>
    <row r="117" spans="1:3" x14ac:dyDescent="0.35">
      <c r="A117" s="25" t="s">
        <v>186</v>
      </c>
      <c r="B117" s="6" t="s">
        <v>185</v>
      </c>
      <c r="C117" s="7">
        <v>8091000</v>
      </c>
    </row>
    <row r="118" spans="1:3" x14ac:dyDescent="0.35">
      <c r="A118" s="25" t="s">
        <v>704</v>
      </c>
      <c r="B118" s="6" t="s">
        <v>282</v>
      </c>
      <c r="C118" s="7">
        <v>8091000</v>
      </c>
    </row>
    <row r="119" spans="1:3" x14ac:dyDescent="0.35">
      <c r="A119" s="25" t="s">
        <v>508</v>
      </c>
      <c r="B119" s="6" t="s">
        <v>783</v>
      </c>
      <c r="C119" s="7">
        <v>8091000</v>
      </c>
    </row>
    <row r="120" spans="1:3" x14ac:dyDescent="0.35">
      <c r="A120" s="25" t="s">
        <v>322</v>
      </c>
      <c r="B120" s="6" t="s">
        <v>321</v>
      </c>
      <c r="C120" s="7">
        <v>8091000</v>
      </c>
    </row>
    <row r="121" spans="1:3" x14ac:dyDescent="0.35">
      <c r="A121" s="25" t="s">
        <v>266</v>
      </c>
      <c r="B121" s="6" t="s">
        <v>265</v>
      </c>
      <c r="C121" s="7">
        <v>8091000</v>
      </c>
    </row>
    <row r="122" spans="1:3" x14ac:dyDescent="0.35">
      <c r="A122" s="25" t="s">
        <v>142</v>
      </c>
      <c r="B122" s="6" t="s">
        <v>109</v>
      </c>
      <c r="C122" s="7">
        <v>8091000</v>
      </c>
    </row>
    <row r="123" spans="1:3" x14ac:dyDescent="0.35">
      <c r="A123" s="25" t="s">
        <v>599</v>
      </c>
      <c r="B123" s="6" t="s">
        <v>458</v>
      </c>
      <c r="C123" s="7">
        <v>8091000</v>
      </c>
    </row>
    <row r="124" spans="1:3" x14ac:dyDescent="0.35">
      <c r="A124" s="25" t="s">
        <v>1109</v>
      </c>
      <c r="B124" s="6" t="s">
        <v>121</v>
      </c>
      <c r="C124" s="7">
        <v>8091000</v>
      </c>
    </row>
    <row r="125" spans="1:3" x14ac:dyDescent="0.35">
      <c r="A125" s="25" t="s">
        <v>604</v>
      </c>
      <c r="B125" s="6" t="s">
        <v>603</v>
      </c>
      <c r="C125" s="7">
        <v>8091000</v>
      </c>
    </row>
    <row r="126" spans="1:3" x14ac:dyDescent="0.35">
      <c r="A126" s="25" t="s">
        <v>744</v>
      </c>
      <c r="B126" s="6" t="s">
        <v>777</v>
      </c>
      <c r="C126" s="7">
        <v>8091000</v>
      </c>
    </row>
    <row r="127" spans="1:3" x14ac:dyDescent="0.35">
      <c r="A127" s="25" t="s">
        <v>600</v>
      </c>
      <c r="B127" s="6" t="s">
        <v>108</v>
      </c>
      <c r="C127" s="7">
        <v>8091000</v>
      </c>
    </row>
    <row r="128" spans="1:3" x14ac:dyDescent="0.35">
      <c r="A128" s="25" t="s">
        <v>87</v>
      </c>
      <c r="B128" s="6" t="s">
        <v>288</v>
      </c>
      <c r="C128" s="7">
        <v>8091000</v>
      </c>
    </row>
    <row r="129" spans="1:3" x14ac:dyDescent="0.35">
      <c r="A129" s="25" t="s">
        <v>1210</v>
      </c>
      <c r="B129" s="6" t="s">
        <v>259</v>
      </c>
      <c r="C129" s="7">
        <v>8091000</v>
      </c>
    </row>
    <row r="130" spans="1:3" x14ac:dyDescent="0.35">
      <c r="A130" s="25" t="s">
        <v>480</v>
      </c>
      <c r="B130" s="6" t="s">
        <v>32</v>
      </c>
      <c r="C130" s="7">
        <v>8091000</v>
      </c>
    </row>
    <row r="131" spans="1:3" x14ac:dyDescent="0.35">
      <c r="A131" s="25" t="s">
        <v>400</v>
      </c>
      <c r="B131" s="6" t="s">
        <v>943</v>
      </c>
      <c r="C131" s="7">
        <v>8091000</v>
      </c>
    </row>
    <row r="132" spans="1:3" x14ac:dyDescent="0.35">
      <c r="A132" s="25" t="s">
        <v>795</v>
      </c>
      <c r="B132" s="6" t="s">
        <v>127</v>
      </c>
      <c r="C132" s="7">
        <v>8091000</v>
      </c>
    </row>
    <row r="133" spans="1:3" x14ac:dyDescent="0.35">
      <c r="A133" s="25" t="s">
        <v>225</v>
      </c>
      <c r="B133" s="6" t="s">
        <v>505</v>
      </c>
      <c r="C133" s="7">
        <v>8091000</v>
      </c>
    </row>
    <row r="134" spans="1:3" x14ac:dyDescent="0.35">
      <c r="A134" s="25" t="s">
        <v>284</v>
      </c>
      <c r="B134" s="6" t="s">
        <v>283</v>
      </c>
      <c r="C134" s="7">
        <v>5931000</v>
      </c>
    </row>
    <row r="135" spans="1:3" x14ac:dyDescent="0.35">
      <c r="A135" s="25" t="s">
        <v>712</v>
      </c>
      <c r="B135" s="6" t="s">
        <v>262</v>
      </c>
      <c r="C135" s="7">
        <v>8091000</v>
      </c>
    </row>
    <row r="136" spans="1:3" x14ac:dyDescent="0.35">
      <c r="A136" s="25" t="s">
        <v>492</v>
      </c>
      <c r="B136" s="6" t="s">
        <v>761</v>
      </c>
      <c r="C136" s="7">
        <v>8091000</v>
      </c>
    </row>
    <row r="137" spans="1:3" x14ac:dyDescent="0.35">
      <c r="A137" s="25" t="s">
        <v>672</v>
      </c>
      <c r="B137" s="6" t="s">
        <v>671</v>
      </c>
      <c r="C137" s="7">
        <v>8091000</v>
      </c>
    </row>
    <row r="138" spans="1:3" x14ac:dyDescent="0.35">
      <c r="A138" s="25" t="s">
        <v>194</v>
      </c>
      <c r="B138" s="6" t="s">
        <v>258</v>
      </c>
      <c r="C138" s="7">
        <v>8091000</v>
      </c>
    </row>
    <row r="139" spans="1:3" x14ac:dyDescent="0.35">
      <c r="A139" s="25" t="s">
        <v>1110</v>
      </c>
      <c r="B139" s="6" t="s">
        <v>222</v>
      </c>
      <c r="C139" s="7">
        <v>8091000</v>
      </c>
    </row>
    <row r="140" spans="1:3" x14ac:dyDescent="0.35">
      <c r="A140" s="25" t="s">
        <v>215</v>
      </c>
      <c r="B140" s="6" t="s">
        <v>708</v>
      </c>
      <c r="C140" s="7">
        <v>8091000</v>
      </c>
    </row>
    <row r="141" spans="1:3" x14ac:dyDescent="0.35">
      <c r="A141" s="25" t="s">
        <v>112</v>
      </c>
      <c r="B141" s="6" t="s">
        <v>111</v>
      </c>
      <c r="C141" s="7">
        <v>8091000</v>
      </c>
    </row>
    <row r="142" spans="1:3" x14ac:dyDescent="0.35">
      <c r="A142" s="25" t="s">
        <v>388</v>
      </c>
      <c r="B142" s="6" t="s">
        <v>387</v>
      </c>
      <c r="C142" s="7">
        <v>8091000</v>
      </c>
    </row>
    <row r="143" spans="1:3" x14ac:dyDescent="0.35">
      <c r="A143" s="25" t="s">
        <v>1111</v>
      </c>
      <c r="B143" s="6" t="s">
        <v>701</v>
      </c>
      <c r="C143" s="7">
        <v>8091000</v>
      </c>
    </row>
    <row r="144" spans="1:3" x14ac:dyDescent="0.35">
      <c r="A144" s="25" t="s">
        <v>33</v>
      </c>
      <c r="B144" s="6" t="s">
        <v>211</v>
      </c>
      <c r="C144" s="7">
        <v>7110000</v>
      </c>
    </row>
    <row r="145" spans="1:3" x14ac:dyDescent="0.35">
      <c r="A145" s="25" t="s">
        <v>673</v>
      </c>
      <c r="B145" s="6" t="s">
        <v>395</v>
      </c>
      <c r="C145" s="7">
        <v>7537500</v>
      </c>
    </row>
    <row r="146" spans="1:3" x14ac:dyDescent="0.35">
      <c r="A146" s="25" t="s">
        <v>205</v>
      </c>
      <c r="B146" s="6" t="s">
        <v>146</v>
      </c>
      <c r="C146" s="7">
        <v>8064000</v>
      </c>
    </row>
    <row r="147" spans="1:3" x14ac:dyDescent="0.35">
      <c r="A147" s="25" t="s">
        <v>1211</v>
      </c>
      <c r="B147" s="6" t="s">
        <v>115</v>
      </c>
      <c r="C147" s="7">
        <v>8064000</v>
      </c>
    </row>
    <row r="148" spans="1:3" x14ac:dyDescent="0.35">
      <c r="A148" s="25" t="s">
        <v>523</v>
      </c>
      <c r="B148" s="6" t="s">
        <v>601</v>
      </c>
      <c r="C148" s="7">
        <v>8064000</v>
      </c>
    </row>
    <row r="149" spans="1:3" x14ac:dyDescent="0.35">
      <c r="A149" s="25" t="s">
        <v>760</v>
      </c>
      <c r="B149" s="6" t="s">
        <v>285</v>
      </c>
      <c r="C149" s="7">
        <v>8064000</v>
      </c>
    </row>
    <row r="150" spans="1:3" x14ac:dyDescent="0.35">
      <c r="A150" s="25" t="s">
        <v>1112</v>
      </c>
      <c r="B150" s="6" t="s">
        <v>345</v>
      </c>
      <c r="C150" s="7">
        <v>8064000</v>
      </c>
    </row>
    <row r="151" spans="1:3" x14ac:dyDescent="0.35">
      <c r="A151" s="25" t="s">
        <v>452</v>
      </c>
      <c r="B151" s="6" t="s">
        <v>451</v>
      </c>
      <c r="C151" s="7">
        <v>8064000</v>
      </c>
    </row>
    <row r="152" spans="1:3" x14ac:dyDescent="0.35">
      <c r="A152" s="25" t="s">
        <v>107</v>
      </c>
      <c r="B152" s="6" t="s">
        <v>275</v>
      </c>
      <c r="C152" s="7">
        <v>8064000</v>
      </c>
    </row>
    <row r="153" spans="1:3" x14ac:dyDescent="0.35">
      <c r="A153" s="25" t="s">
        <v>203</v>
      </c>
      <c r="B153" s="6" t="s">
        <v>356</v>
      </c>
      <c r="C153" s="7">
        <v>8064000</v>
      </c>
    </row>
    <row r="154" spans="1:3" x14ac:dyDescent="0.35">
      <c r="A154" s="25" t="s">
        <v>787</v>
      </c>
      <c r="B154" s="6" t="s">
        <v>1090</v>
      </c>
      <c r="C154" s="7">
        <v>8064000</v>
      </c>
    </row>
    <row r="155" spans="1:3" x14ac:dyDescent="0.35">
      <c r="A155" s="25" t="s">
        <v>1113</v>
      </c>
      <c r="B155" s="6" t="s">
        <v>371</v>
      </c>
      <c r="C155" s="7">
        <v>8064000</v>
      </c>
    </row>
    <row r="156" spans="1:3" x14ac:dyDescent="0.35">
      <c r="A156" s="25" t="s">
        <v>78</v>
      </c>
      <c r="B156" s="6" t="s">
        <v>23</v>
      </c>
      <c r="C156" s="7">
        <v>8064000</v>
      </c>
    </row>
    <row r="157" spans="1:3" x14ac:dyDescent="0.35">
      <c r="A157" s="25" t="s">
        <v>578</v>
      </c>
      <c r="B157" s="6" t="s">
        <v>577</v>
      </c>
      <c r="C157" s="7">
        <v>8064000</v>
      </c>
    </row>
    <row r="158" spans="1:3" x14ac:dyDescent="0.35">
      <c r="A158" s="25" t="s">
        <v>743</v>
      </c>
      <c r="B158" s="6" t="s">
        <v>212</v>
      </c>
      <c r="C158" s="7">
        <v>8037000</v>
      </c>
    </row>
    <row r="159" spans="1:3" x14ac:dyDescent="0.35">
      <c r="A159" s="25" t="s">
        <v>512</v>
      </c>
      <c r="B159" s="6" t="s">
        <v>330</v>
      </c>
      <c r="C159" s="7">
        <v>8037000</v>
      </c>
    </row>
    <row r="160" spans="1:3" x14ac:dyDescent="0.35">
      <c r="A160" s="25" t="s">
        <v>210</v>
      </c>
      <c r="B160" s="6" t="s">
        <v>513</v>
      </c>
      <c r="C160" s="7">
        <v>8037000</v>
      </c>
    </row>
    <row r="161" spans="1:3" x14ac:dyDescent="0.35">
      <c r="A161" s="25" t="s">
        <v>781</v>
      </c>
      <c r="B161" s="6" t="s">
        <v>780</v>
      </c>
      <c r="C161" s="7">
        <v>8037000</v>
      </c>
    </row>
    <row r="162" spans="1:3" x14ac:dyDescent="0.35">
      <c r="A162" s="25" t="s">
        <v>276</v>
      </c>
      <c r="B162" s="6" t="s">
        <v>355</v>
      </c>
      <c r="C162" s="7">
        <v>8037000</v>
      </c>
    </row>
    <row r="163" spans="1:3" x14ac:dyDescent="0.35">
      <c r="A163" s="25" t="s">
        <v>83</v>
      </c>
      <c r="B163" s="6" t="s">
        <v>484</v>
      </c>
      <c r="C163" s="7">
        <v>8037000</v>
      </c>
    </row>
    <row r="164" spans="1:3" x14ac:dyDescent="0.35">
      <c r="A164" s="25" t="s">
        <v>510</v>
      </c>
      <c r="B164" s="6" t="s">
        <v>509</v>
      </c>
      <c r="C164" s="7">
        <v>8037000</v>
      </c>
    </row>
    <row r="165" spans="1:3" x14ac:dyDescent="0.35">
      <c r="A165" s="25" t="s">
        <v>1114</v>
      </c>
      <c r="B165" s="6" t="s">
        <v>524</v>
      </c>
      <c r="C165" s="7">
        <v>8037000</v>
      </c>
    </row>
    <row r="166" spans="1:3" x14ac:dyDescent="0.35">
      <c r="A166" s="25" t="s">
        <v>466</v>
      </c>
      <c r="B166" s="6" t="s">
        <v>729</v>
      </c>
      <c r="C166" s="7">
        <v>8037000</v>
      </c>
    </row>
    <row r="167" spans="1:3" x14ac:dyDescent="0.35">
      <c r="A167" s="25" t="s">
        <v>79</v>
      </c>
      <c r="B167" s="6" t="s">
        <v>105</v>
      </c>
      <c r="C167" s="7">
        <v>8037000</v>
      </c>
    </row>
    <row r="168" spans="1:3" x14ac:dyDescent="0.35">
      <c r="A168" s="25" t="s">
        <v>140</v>
      </c>
      <c r="B168" s="6" t="s">
        <v>414</v>
      </c>
      <c r="C168" s="7">
        <v>8001000</v>
      </c>
    </row>
    <row r="169" spans="1:3" x14ac:dyDescent="0.35">
      <c r="A169" s="25" t="s">
        <v>325</v>
      </c>
      <c r="B169" s="6" t="s">
        <v>324</v>
      </c>
      <c r="C169" s="7">
        <v>7537500</v>
      </c>
    </row>
    <row r="170" spans="1:3" x14ac:dyDescent="0.35">
      <c r="A170" s="25" t="s">
        <v>499</v>
      </c>
      <c r="B170" s="6" t="s">
        <v>498</v>
      </c>
      <c r="C170" s="7">
        <v>7515000</v>
      </c>
    </row>
    <row r="171" spans="1:3" x14ac:dyDescent="0.35">
      <c r="A171" s="25" t="s">
        <v>675</v>
      </c>
      <c r="B171" s="6" t="s">
        <v>333</v>
      </c>
      <c r="C171" s="7">
        <v>7335000</v>
      </c>
    </row>
    <row r="172" spans="1:3" x14ac:dyDescent="0.35">
      <c r="A172" s="25" t="s">
        <v>19</v>
      </c>
      <c r="B172" s="6" t="s">
        <v>251</v>
      </c>
      <c r="C172" s="7">
        <v>7335000</v>
      </c>
    </row>
    <row r="173" spans="1:3" x14ac:dyDescent="0.35">
      <c r="A173" s="25" t="s">
        <v>756</v>
      </c>
      <c r="B173" s="6" t="s">
        <v>483</v>
      </c>
      <c r="C173" s="7">
        <v>7537500</v>
      </c>
    </row>
    <row r="174" spans="1:3" x14ac:dyDescent="0.35">
      <c r="A174" s="25" t="s">
        <v>650</v>
      </c>
      <c r="B174" s="6" t="s">
        <v>386</v>
      </c>
      <c r="C174" s="7">
        <v>7537500</v>
      </c>
    </row>
    <row r="175" spans="1:3" x14ac:dyDescent="0.35">
      <c r="A175" s="25" t="s">
        <v>151</v>
      </c>
      <c r="B175" s="6" t="s">
        <v>150</v>
      </c>
      <c r="C175" s="7">
        <v>7537500</v>
      </c>
    </row>
    <row r="176" spans="1:3" x14ac:dyDescent="0.35">
      <c r="A176" s="25" t="s">
        <v>625</v>
      </c>
      <c r="B176" s="6" t="s">
        <v>623</v>
      </c>
      <c r="C176" s="7">
        <v>7920000</v>
      </c>
    </row>
    <row r="177" spans="1:3" x14ac:dyDescent="0.35">
      <c r="A177" s="25" t="s">
        <v>1115</v>
      </c>
      <c r="B177" s="6" t="s">
        <v>709</v>
      </c>
      <c r="C177" s="7">
        <v>7920000</v>
      </c>
    </row>
    <row r="178" spans="1:3" x14ac:dyDescent="0.35">
      <c r="A178" s="25" t="s">
        <v>289</v>
      </c>
      <c r="B178" s="6" t="s">
        <v>944</v>
      </c>
      <c r="C178" s="7">
        <v>7920000</v>
      </c>
    </row>
    <row r="179" spans="1:3" x14ac:dyDescent="0.35">
      <c r="A179" s="25" t="s">
        <v>485</v>
      </c>
      <c r="B179" s="6" t="s">
        <v>100</v>
      </c>
      <c r="C179" s="7">
        <v>7920000</v>
      </c>
    </row>
    <row r="180" spans="1:3" x14ac:dyDescent="0.35">
      <c r="A180" s="25" t="s">
        <v>624</v>
      </c>
      <c r="B180" s="6" t="s">
        <v>758</v>
      </c>
      <c r="C180" s="7">
        <v>7920000</v>
      </c>
    </row>
    <row r="181" spans="1:3" x14ac:dyDescent="0.35">
      <c r="A181" s="25" t="s">
        <v>26</v>
      </c>
      <c r="B181" s="6" t="s">
        <v>25</v>
      </c>
      <c r="C181" s="7">
        <v>7515000</v>
      </c>
    </row>
    <row r="182" spans="1:3" x14ac:dyDescent="0.35">
      <c r="A182" s="25" t="s">
        <v>481</v>
      </c>
      <c r="B182" s="6" t="s">
        <v>343</v>
      </c>
      <c r="C182" s="7">
        <v>7537500</v>
      </c>
    </row>
    <row r="183" spans="1:3" x14ac:dyDescent="0.35">
      <c r="A183" s="25" t="s">
        <v>759</v>
      </c>
      <c r="B183" s="6" t="s">
        <v>479</v>
      </c>
      <c r="C183" s="7">
        <v>7537500</v>
      </c>
    </row>
    <row r="184" spans="1:3" x14ac:dyDescent="0.35">
      <c r="A184" s="25" t="s">
        <v>41</v>
      </c>
      <c r="B184" s="6" t="s">
        <v>318</v>
      </c>
      <c r="C184" s="7">
        <v>7537500</v>
      </c>
    </row>
    <row r="185" spans="1:3" x14ac:dyDescent="0.35">
      <c r="A185" s="25" t="s">
        <v>310</v>
      </c>
      <c r="B185" s="6" t="s">
        <v>102</v>
      </c>
      <c r="C185" s="7">
        <v>7515000</v>
      </c>
    </row>
    <row r="186" spans="1:3" x14ac:dyDescent="0.35">
      <c r="A186" s="25" t="s">
        <v>312</v>
      </c>
      <c r="B186" s="6" t="s">
        <v>311</v>
      </c>
      <c r="C186" s="7">
        <v>7537500</v>
      </c>
    </row>
    <row r="187" spans="1:3" x14ac:dyDescent="0.35">
      <c r="A187" s="25" t="s">
        <v>43</v>
      </c>
      <c r="B187" s="6" t="s">
        <v>689</v>
      </c>
      <c r="C187" s="7">
        <v>7762500</v>
      </c>
    </row>
    <row r="188" spans="1:3" x14ac:dyDescent="0.35">
      <c r="A188" s="25" t="s">
        <v>120</v>
      </c>
      <c r="B188" s="6" t="s">
        <v>616</v>
      </c>
      <c r="C188" s="7">
        <v>7762500</v>
      </c>
    </row>
    <row r="189" spans="1:3" x14ac:dyDescent="0.35">
      <c r="A189" s="25" t="s">
        <v>252</v>
      </c>
      <c r="B189" s="6" t="s">
        <v>249</v>
      </c>
      <c r="C189" s="7">
        <v>7762500</v>
      </c>
    </row>
    <row r="190" spans="1:3" x14ac:dyDescent="0.35">
      <c r="A190" s="25" t="s">
        <v>453</v>
      </c>
      <c r="B190" s="6" t="s">
        <v>598</v>
      </c>
      <c r="C190" s="7">
        <v>7762500</v>
      </c>
    </row>
    <row r="191" spans="1:3" x14ac:dyDescent="0.35">
      <c r="A191" s="25" t="s">
        <v>4</v>
      </c>
      <c r="B191" s="6" t="s">
        <v>232</v>
      </c>
      <c r="C191" s="7">
        <v>7762500</v>
      </c>
    </row>
    <row r="192" spans="1:3" x14ac:dyDescent="0.35">
      <c r="A192" s="25" t="s">
        <v>720</v>
      </c>
      <c r="B192" s="6" t="s">
        <v>375</v>
      </c>
      <c r="C192" s="7">
        <v>7762500</v>
      </c>
    </row>
    <row r="193" spans="1:3" x14ac:dyDescent="0.35">
      <c r="A193" s="25" t="s">
        <v>1117</v>
      </c>
      <c r="B193" s="6" t="s">
        <v>277</v>
      </c>
      <c r="C193" s="7">
        <v>7762500</v>
      </c>
    </row>
    <row r="194" spans="1:3" x14ac:dyDescent="0.35">
      <c r="A194" s="25" t="s">
        <v>475</v>
      </c>
      <c r="B194" s="6" t="s">
        <v>474</v>
      </c>
      <c r="C194" s="7">
        <v>7762500</v>
      </c>
    </row>
    <row r="195" spans="1:3" x14ac:dyDescent="0.35">
      <c r="A195" s="25" t="s">
        <v>702</v>
      </c>
      <c r="B195" s="6" t="s">
        <v>476</v>
      </c>
      <c r="C195" s="7">
        <v>7762500</v>
      </c>
    </row>
    <row r="196" spans="1:3" x14ac:dyDescent="0.35">
      <c r="A196" s="25" t="s">
        <v>717</v>
      </c>
      <c r="B196" s="6" t="s">
        <v>765</v>
      </c>
      <c r="C196" s="7">
        <v>7762500</v>
      </c>
    </row>
    <row r="197" spans="1:3" x14ac:dyDescent="0.35">
      <c r="A197" s="25" t="s">
        <v>776</v>
      </c>
      <c r="B197" s="6" t="s">
        <v>184</v>
      </c>
      <c r="C197" s="7">
        <v>7762500</v>
      </c>
    </row>
    <row r="198" spans="1:3" x14ac:dyDescent="0.35">
      <c r="A198" s="25" t="s">
        <v>528</v>
      </c>
      <c r="B198" s="6" t="s">
        <v>144</v>
      </c>
      <c r="C198" s="7">
        <v>7762500</v>
      </c>
    </row>
    <row r="199" spans="1:3" x14ac:dyDescent="0.35">
      <c r="A199" s="25" t="s">
        <v>221</v>
      </c>
      <c r="B199" s="6" t="s">
        <v>563</v>
      </c>
      <c r="C199" s="7">
        <v>7762500</v>
      </c>
    </row>
    <row r="200" spans="1:3" x14ac:dyDescent="0.35">
      <c r="A200" s="25" t="s">
        <v>607</v>
      </c>
      <c r="B200" s="6" t="s">
        <v>606</v>
      </c>
      <c r="C200" s="7">
        <v>7762500</v>
      </c>
    </row>
    <row r="201" spans="1:3" x14ac:dyDescent="0.35">
      <c r="A201" s="25" t="s">
        <v>316</v>
      </c>
      <c r="B201" s="6" t="s">
        <v>315</v>
      </c>
      <c r="C201" s="7">
        <v>7740000</v>
      </c>
    </row>
    <row r="202" spans="1:3" x14ac:dyDescent="0.35">
      <c r="A202" s="25" t="s">
        <v>99</v>
      </c>
      <c r="B202" s="6" t="s">
        <v>193</v>
      </c>
      <c r="C202" s="7">
        <v>7740000</v>
      </c>
    </row>
    <row r="203" spans="1:3" x14ac:dyDescent="0.35">
      <c r="A203" s="25" t="s">
        <v>1118</v>
      </c>
      <c r="B203" s="6" t="s">
        <v>750</v>
      </c>
      <c r="C203" s="7">
        <v>7537500</v>
      </c>
    </row>
    <row r="204" spans="1:3" x14ac:dyDescent="0.35">
      <c r="A204" s="25" t="s">
        <v>534</v>
      </c>
      <c r="B204" s="6" t="s">
        <v>533</v>
      </c>
      <c r="C204" s="7">
        <v>7110000</v>
      </c>
    </row>
    <row r="205" spans="1:3" x14ac:dyDescent="0.35">
      <c r="A205" s="25" t="s">
        <v>737</v>
      </c>
      <c r="B205" s="6" t="s">
        <v>736</v>
      </c>
      <c r="C205" s="7">
        <v>7110000</v>
      </c>
    </row>
    <row r="206" spans="1:3" x14ac:dyDescent="0.35">
      <c r="A206" s="25" t="s">
        <v>214</v>
      </c>
      <c r="B206" s="6" t="s">
        <v>443</v>
      </c>
      <c r="C206" s="7">
        <v>7110000</v>
      </c>
    </row>
    <row r="207" spans="1:3" x14ac:dyDescent="0.35">
      <c r="A207" s="25" t="s">
        <v>341</v>
      </c>
      <c r="B207" s="6" t="s">
        <v>340</v>
      </c>
      <c r="C207" s="7">
        <v>7402500</v>
      </c>
    </row>
    <row r="208" spans="1:3" x14ac:dyDescent="0.35">
      <c r="A208" s="25" t="s">
        <v>183</v>
      </c>
      <c r="B208" s="6" t="s">
        <v>281</v>
      </c>
      <c r="C208" s="7">
        <v>7537500</v>
      </c>
    </row>
    <row r="209" spans="1:3" x14ac:dyDescent="0.35">
      <c r="A209" s="25" t="s">
        <v>336</v>
      </c>
      <c r="B209" s="6" t="s">
        <v>80</v>
      </c>
      <c r="C209" s="7">
        <v>7335000</v>
      </c>
    </row>
    <row r="210" spans="1:3" x14ac:dyDescent="0.35">
      <c r="A210" s="25" t="s">
        <v>67</v>
      </c>
      <c r="B210" s="6" t="s">
        <v>788</v>
      </c>
      <c r="C210" s="7">
        <v>7177500</v>
      </c>
    </row>
    <row r="211" spans="1:3" x14ac:dyDescent="0.35">
      <c r="A211" s="25" t="s">
        <v>520</v>
      </c>
      <c r="B211" s="6" t="s">
        <v>61</v>
      </c>
      <c r="C211" s="7">
        <v>7335000</v>
      </c>
    </row>
    <row r="212" spans="1:3" x14ac:dyDescent="0.35">
      <c r="A212" s="25" t="s">
        <v>415</v>
      </c>
      <c r="B212" s="6" t="s">
        <v>367</v>
      </c>
      <c r="C212" s="7">
        <v>7335000</v>
      </c>
    </row>
    <row r="213" spans="1:3" x14ac:dyDescent="0.35">
      <c r="A213" s="25" t="s">
        <v>77</v>
      </c>
      <c r="B213" s="6" t="s">
        <v>694</v>
      </c>
      <c r="C213" s="7">
        <v>7537500</v>
      </c>
    </row>
    <row r="214" spans="1:3" x14ac:dyDescent="0.35">
      <c r="A214" s="25" t="s">
        <v>332</v>
      </c>
      <c r="B214" s="6" t="s">
        <v>331</v>
      </c>
      <c r="C214" s="7">
        <v>7515000</v>
      </c>
    </row>
    <row r="215" spans="1:3" x14ac:dyDescent="0.35">
      <c r="A215" s="25" t="s">
        <v>335</v>
      </c>
      <c r="B215" s="6" t="s">
        <v>581</v>
      </c>
      <c r="C215" s="7">
        <v>7335000</v>
      </c>
    </row>
    <row r="216" spans="1:3" x14ac:dyDescent="0.35">
      <c r="A216" s="25" t="s">
        <v>532</v>
      </c>
      <c r="B216" s="6" t="s">
        <v>267</v>
      </c>
      <c r="C216" s="7">
        <v>7335000</v>
      </c>
    </row>
    <row r="217" spans="1:3" x14ac:dyDescent="0.35">
      <c r="A217" s="25" t="s">
        <v>653</v>
      </c>
      <c r="B217" s="6" t="s">
        <v>239</v>
      </c>
      <c r="C217" s="7">
        <v>7402500</v>
      </c>
    </row>
    <row r="218" spans="1:3" x14ac:dyDescent="0.35">
      <c r="A218" s="25" t="s">
        <v>1119</v>
      </c>
      <c r="B218" s="6" t="s">
        <v>551</v>
      </c>
      <c r="C218" s="7">
        <v>7335000</v>
      </c>
    </row>
    <row r="219" spans="1:3" x14ac:dyDescent="0.35">
      <c r="A219" s="25" t="s">
        <v>158</v>
      </c>
      <c r="B219" s="6" t="s">
        <v>591</v>
      </c>
      <c r="C219" s="7">
        <v>7402500</v>
      </c>
    </row>
    <row r="220" spans="1:3" x14ac:dyDescent="0.35">
      <c r="A220" s="25" t="s">
        <v>1120</v>
      </c>
      <c r="B220" s="6" t="s">
        <v>126</v>
      </c>
      <c r="C220" s="7">
        <v>7402500</v>
      </c>
    </row>
    <row r="221" spans="1:3" x14ac:dyDescent="0.35">
      <c r="A221" s="25" t="s">
        <v>30</v>
      </c>
      <c r="B221" s="6" t="s">
        <v>981</v>
      </c>
      <c r="C221" s="7">
        <v>7402500</v>
      </c>
    </row>
    <row r="222" spans="1:3" x14ac:dyDescent="0.35">
      <c r="A222" s="25" t="s">
        <v>611</v>
      </c>
      <c r="B222" s="6" t="s">
        <v>136</v>
      </c>
      <c r="C222" s="7">
        <v>7110000</v>
      </c>
    </row>
    <row r="223" spans="1:3" x14ac:dyDescent="0.35">
      <c r="A223" s="25" t="s">
        <v>397</v>
      </c>
      <c r="B223" s="6" t="s">
        <v>396</v>
      </c>
      <c r="C223" s="7">
        <v>7402500</v>
      </c>
    </row>
    <row r="224" spans="1:3" x14ac:dyDescent="0.35">
      <c r="A224" s="25" t="s">
        <v>706</v>
      </c>
      <c r="B224" s="6" t="s">
        <v>63</v>
      </c>
      <c r="C224" s="7">
        <v>7110000</v>
      </c>
    </row>
    <row r="225" spans="1:3" x14ac:dyDescent="0.35">
      <c r="A225" s="25" t="s">
        <v>440</v>
      </c>
      <c r="B225" s="6" t="s">
        <v>468</v>
      </c>
      <c r="C225" s="7">
        <v>7177500</v>
      </c>
    </row>
    <row r="226" spans="1:3" x14ac:dyDescent="0.35">
      <c r="A226" s="25" t="s">
        <v>526</v>
      </c>
      <c r="B226" s="6" t="s">
        <v>422</v>
      </c>
      <c r="C226" s="7">
        <v>7110000</v>
      </c>
    </row>
    <row r="227" spans="1:3" x14ac:dyDescent="0.35">
      <c r="A227" s="25" t="s">
        <v>295</v>
      </c>
      <c r="B227" s="6" t="s">
        <v>770</v>
      </c>
      <c r="C227" s="7">
        <v>7177500</v>
      </c>
    </row>
    <row r="228" spans="1:3" x14ac:dyDescent="0.35">
      <c r="A228" s="25" t="s">
        <v>70</v>
      </c>
      <c r="B228" s="6" t="s">
        <v>576</v>
      </c>
      <c r="C228" s="7">
        <v>7177500</v>
      </c>
    </row>
    <row r="229" spans="1:3" x14ac:dyDescent="0.35">
      <c r="A229" s="25" t="s">
        <v>334</v>
      </c>
      <c r="B229" s="6" t="s">
        <v>705</v>
      </c>
      <c r="C229" s="7">
        <v>7177500</v>
      </c>
    </row>
    <row r="230" spans="1:3" x14ac:dyDescent="0.35">
      <c r="A230" s="25" t="s">
        <v>418</v>
      </c>
      <c r="B230" s="6" t="s">
        <v>734</v>
      </c>
      <c r="C230" s="7">
        <v>7177500</v>
      </c>
    </row>
    <row r="231" spans="1:3" x14ac:dyDescent="0.35">
      <c r="A231" s="25" t="s">
        <v>59</v>
      </c>
      <c r="B231" s="6" t="s">
        <v>360</v>
      </c>
      <c r="C231" s="7">
        <v>7177500</v>
      </c>
    </row>
    <row r="232" spans="1:3" x14ac:dyDescent="0.35">
      <c r="A232" s="25" t="s">
        <v>17</v>
      </c>
      <c r="B232" s="6" t="s">
        <v>945</v>
      </c>
      <c r="C232" s="7">
        <v>4500000</v>
      </c>
    </row>
    <row r="233" spans="1:3" x14ac:dyDescent="0.35">
      <c r="A233" s="25" t="s">
        <v>420</v>
      </c>
      <c r="B233" s="6" t="s">
        <v>419</v>
      </c>
      <c r="C233" s="7">
        <v>6480000</v>
      </c>
    </row>
    <row r="234" spans="1:3" x14ac:dyDescent="0.35">
      <c r="A234" s="25" t="s">
        <v>304</v>
      </c>
      <c r="B234" s="6" t="s">
        <v>94</v>
      </c>
      <c r="C234" s="7">
        <v>6480000</v>
      </c>
    </row>
    <row r="235" spans="1:3" x14ac:dyDescent="0.35">
      <c r="A235" s="25" t="s">
        <v>305</v>
      </c>
      <c r="B235" s="6" t="s">
        <v>817</v>
      </c>
      <c r="C235" s="7">
        <v>4500000</v>
      </c>
    </row>
    <row r="236" spans="1:3" x14ac:dyDescent="0.35">
      <c r="A236" s="25" t="s">
        <v>306</v>
      </c>
      <c r="B236" s="6" t="s">
        <v>818</v>
      </c>
      <c r="C236" s="7">
        <v>6570000</v>
      </c>
    </row>
    <row r="237" spans="1:3" x14ac:dyDescent="0.35">
      <c r="A237" s="25" t="s">
        <v>160</v>
      </c>
      <c r="B237" s="6" t="s">
        <v>159</v>
      </c>
      <c r="C237" s="7">
        <v>5095000</v>
      </c>
    </row>
    <row r="238" spans="1:3" x14ac:dyDescent="0.35">
      <c r="A238" s="25" t="s">
        <v>700</v>
      </c>
      <c r="B238" s="6" t="s">
        <v>699</v>
      </c>
      <c r="C238" s="7">
        <v>4500000</v>
      </c>
    </row>
    <row r="239" spans="1:3" x14ac:dyDescent="0.35">
      <c r="A239" s="25" t="s">
        <v>757</v>
      </c>
      <c r="B239" s="6" t="s">
        <v>441</v>
      </c>
      <c r="C239" s="7">
        <v>4500000</v>
      </c>
    </row>
    <row r="240" spans="1:3" x14ac:dyDescent="0.35">
      <c r="A240" s="25" t="s">
        <v>494</v>
      </c>
      <c r="B240" s="6" t="s">
        <v>493</v>
      </c>
      <c r="C240" s="7">
        <v>4500000</v>
      </c>
    </row>
    <row r="241" spans="1:3" x14ac:dyDescent="0.35">
      <c r="A241" s="25" t="s">
        <v>622</v>
      </c>
      <c r="B241" s="6" t="s">
        <v>626</v>
      </c>
      <c r="C241" s="7">
        <v>4500000</v>
      </c>
    </row>
    <row r="242" spans="1:3" x14ac:dyDescent="0.35">
      <c r="A242" s="25" t="s">
        <v>423</v>
      </c>
      <c r="B242" s="6" t="s">
        <v>442</v>
      </c>
      <c r="C242" s="7">
        <v>4500000</v>
      </c>
    </row>
    <row r="243" spans="1:3" x14ac:dyDescent="0.35">
      <c r="A243" s="25" t="s">
        <v>302</v>
      </c>
      <c r="B243" s="6" t="s">
        <v>393</v>
      </c>
      <c r="C243" s="7">
        <v>4500000</v>
      </c>
    </row>
    <row r="244" spans="1:3" x14ac:dyDescent="0.35">
      <c r="A244" s="25" t="s">
        <v>260</v>
      </c>
      <c r="B244" s="6" t="s">
        <v>230</v>
      </c>
      <c r="C244" s="7">
        <v>4500000</v>
      </c>
    </row>
    <row r="245" spans="1:3" x14ac:dyDescent="0.35">
      <c r="A245" s="25" t="s">
        <v>666</v>
      </c>
      <c r="B245" s="6" t="s">
        <v>665</v>
      </c>
      <c r="C245" s="7">
        <v>4500000</v>
      </c>
    </row>
    <row r="246" spans="1:3" x14ac:dyDescent="0.35">
      <c r="A246" s="25" t="s">
        <v>775</v>
      </c>
      <c r="B246" s="6" t="s">
        <v>504</v>
      </c>
      <c r="C246" s="7">
        <v>4500000</v>
      </c>
    </row>
    <row r="247" spans="1:3" x14ac:dyDescent="0.35">
      <c r="A247" s="25" t="s">
        <v>180</v>
      </c>
      <c r="B247" s="6" t="s">
        <v>527</v>
      </c>
      <c r="C247" s="7">
        <v>4500000</v>
      </c>
    </row>
    <row r="248" spans="1:3" x14ac:dyDescent="0.35">
      <c r="A248" s="25" t="s">
        <v>774</v>
      </c>
      <c r="B248" s="6" t="s">
        <v>570</v>
      </c>
      <c r="C248" s="7">
        <v>4500000</v>
      </c>
    </row>
    <row r="249" spans="1:3" x14ac:dyDescent="0.35">
      <c r="A249" s="25" t="s">
        <v>554</v>
      </c>
      <c r="B249" s="6" t="s">
        <v>143</v>
      </c>
      <c r="C249" s="7">
        <v>4500000</v>
      </c>
    </row>
    <row r="250" spans="1:3" x14ac:dyDescent="0.35">
      <c r="A250" s="25" t="s">
        <v>229</v>
      </c>
      <c r="B250" s="6" t="s">
        <v>228</v>
      </c>
      <c r="C250" s="7">
        <v>4500000</v>
      </c>
    </row>
    <row r="251" spans="1:3" x14ac:dyDescent="0.35">
      <c r="A251" s="25" t="s">
        <v>727</v>
      </c>
      <c r="B251" s="6" t="s">
        <v>274</v>
      </c>
      <c r="C251" s="7">
        <v>4500000</v>
      </c>
    </row>
    <row r="252" spans="1:3" x14ac:dyDescent="0.35">
      <c r="A252" s="25" t="s">
        <v>297</v>
      </c>
      <c r="B252" s="6" t="s">
        <v>644</v>
      </c>
      <c r="C252" s="7">
        <v>4500000</v>
      </c>
    </row>
    <row r="253" spans="1:3" x14ac:dyDescent="0.35">
      <c r="A253" s="25" t="s">
        <v>113</v>
      </c>
      <c r="B253" s="6" t="s">
        <v>408</v>
      </c>
      <c r="C253" s="7">
        <v>4500000</v>
      </c>
    </row>
    <row r="254" spans="1:3" x14ac:dyDescent="0.35">
      <c r="A254" s="25" t="s">
        <v>117</v>
      </c>
      <c r="B254" s="6" t="s">
        <v>223</v>
      </c>
      <c r="C254" s="7">
        <v>4500000</v>
      </c>
    </row>
    <row r="255" spans="1:3" x14ac:dyDescent="0.35">
      <c r="A255" s="25" t="s">
        <v>170</v>
      </c>
      <c r="B255" s="6" t="s">
        <v>236</v>
      </c>
      <c r="C255" s="7">
        <v>4500000</v>
      </c>
    </row>
    <row r="256" spans="1:3" x14ac:dyDescent="0.35">
      <c r="A256" s="25" t="s">
        <v>3</v>
      </c>
      <c r="B256" s="6" t="s">
        <v>52</v>
      </c>
      <c r="C256" s="7">
        <v>4500000</v>
      </c>
    </row>
    <row r="257" spans="1:3" x14ac:dyDescent="0.35">
      <c r="A257" s="25" t="s">
        <v>2</v>
      </c>
      <c r="B257" s="6" t="s">
        <v>359</v>
      </c>
      <c r="C257" s="7">
        <v>4500000</v>
      </c>
    </row>
    <row r="258" spans="1:3" x14ac:dyDescent="0.35">
      <c r="A258" s="25" t="s">
        <v>76</v>
      </c>
      <c r="B258" s="6" t="s">
        <v>69</v>
      </c>
      <c r="C258" s="7">
        <v>4500000</v>
      </c>
    </row>
    <row r="259" spans="1:3" x14ac:dyDescent="0.35">
      <c r="A259" s="25" t="s">
        <v>66</v>
      </c>
      <c r="B259" s="6" t="s">
        <v>580</v>
      </c>
      <c r="C259" s="7">
        <v>4500000</v>
      </c>
    </row>
    <row r="260" spans="1:3" x14ac:dyDescent="0.35">
      <c r="A260" s="25" t="s">
        <v>540</v>
      </c>
      <c r="B260" s="6" t="s">
        <v>208</v>
      </c>
      <c r="C260" s="7">
        <v>4500000</v>
      </c>
    </row>
    <row r="261" spans="1:3" x14ac:dyDescent="0.35">
      <c r="A261" s="25" t="s">
        <v>455</v>
      </c>
      <c r="B261" s="6" t="s">
        <v>556</v>
      </c>
      <c r="C261" s="7">
        <v>4500000</v>
      </c>
    </row>
    <row r="262" spans="1:3" x14ac:dyDescent="0.35">
      <c r="A262" s="25" t="s">
        <v>596</v>
      </c>
      <c r="B262" s="6" t="s">
        <v>384</v>
      </c>
      <c r="C262" s="7">
        <v>4500000</v>
      </c>
    </row>
    <row r="263" spans="1:3" x14ac:dyDescent="0.35">
      <c r="A263" s="25" t="s">
        <v>497</v>
      </c>
      <c r="B263" s="6" t="s">
        <v>652</v>
      </c>
      <c r="C263" s="7">
        <v>4500000</v>
      </c>
    </row>
    <row r="264" spans="1:3" x14ac:dyDescent="0.35">
      <c r="A264" s="25" t="s">
        <v>495</v>
      </c>
      <c r="B264" s="6" t="s">
        <v>95</v>
      </c>
      <c r="C264" s="7">
        <v>4500000</v>
      </c>
    </row>
    <row r="265" spans="1:3" x14ac:dyDescent="0.35">
      <c r="A265" s="25" t="s">
        <v>161</v>
      </c>
      <c r="B265" s="6" t="s">
        <v>272</v>
      </c>
      <c r="C265" s="7">
        <v>4500000</v>
      </c>
    </row>
    <row r="266" spans="1:3" x14ac:dyDescent="0.35">
      <c r="A266" s="25" t="s">
        <v>294</v>
      </c>
      <c r="B266" s="6" t="s">
        <v>49</v>
      </c>
      <c r="C266" s="7">
        <v>4500000</v>
      </c>
    </row>
    <row r="267" spans="1:3" x14ac:dyDescent="0.35">
      <c r="A267" s="25" t="s">
        <v>189</v>
      </c>
      <c r="B267" s="6" t="s">
        <v>188</v>
      </c>
      <c r="C267" s="7">
        <v>4995000</v>
      </c>
    </row>
    <row r="268" spans="1:3" x14ac:dyDescent="0.35">
      <c r="A268" s="25" t="s">
        <v>245</v>
      </c>
      <c r="B268" s="6" t="s">
        <v>190</v>
      </c>
      <c r="C268" s="7">
        <v>4995000</v>
      </c>
    </row>
    <row r="269" spans="1:3" x14ac:dyDescent="0.35">
      <c r="A269" s="25" t="s">
        <v>1125</v>
      </c>
      <c r="B269" s="6" t="s">
        <v>552</v>
      </c>
      <c r="C269" s="7">
        <v>4500000</v>
      </c>
    </row>
    <row r="270" spans="1:3" x14ac:dyDescent="0.35">
      <c r="A270" s="25" t="s">
        <v>139</v>
      </c>
      <c r="B270" s="6" t="s">
        <v>138</v>
      </c>
      <c r="C270" s="7">
        <v>4995000</v>
      </c>
    </row>
    <row r="271" spans="1:3" x14ac:dyDescent="0.35">
      <c r="A271" s="25" t="s">
        <v>141</v>
      </c>
      <c r="B271" s="6" t="s">
        <v>131</v>
      </c>
      <c r="C271" s="7">
        <v>6570000</v>
      </c>
    </row>
    <row r="272" spans="1:3" x14ac:dyDescent="0.35">
      <c r="A272" s="25" t="s">
        <v>280</v>
      </c>
      <c r="B272" s="6" t="s">
        <v>279</v>
      </c>
      <c r="C272" s="7">
        <v>4995000</v>
      </c>
    </row>
    <row r="273" spans="1:3" x14ac:dyDescent="0.35">
      <c r="A273" s="25" t="s">
        <v>605</v>
      </c>
      <c r="B273" s="6" t="s">
        <v>425</v>
      </c>
      <c r="C273" s="7">
        <v>4995000</v>
      </c>
    </row>
    <row r="274" spans="1:3" x14ac:dyDescent="0.35">
      <c r="A274" s="25" t="s">
        <v>710</v>
      </c>
      <c r="B274" s="6" t="s">
        <v>307</v>
      </c>
      <c r="C274" s="7">
        <v>4995000</v>
      </c>
    </row>
    <row r="275" spans="1:3" x14ac:dyDescent="0.35">
      <c r="A275" s="25" t="s">
        <v>348</v>
      </c>
      <c r="B275" s="6" t="s">
        <v>351</v>
      </c>
      <c r="C275" s="7">
        <v>4995000</v>
      </c>
    </row>
    <row r="276" spans="1:3" x14ac:dyDescent="0.35">
      <c r="A276" s="25" t="s">
        <v>242</v>
      </c>
      <c r="B276" s="6" t="s">
        <v>241</v>
      </c>
      <c r="C276" s="7">
        <v>4995000</v>
      </c>
    </row>
    <row r="277" spans="1:3" x14ac:dyDescent="0.35">
      <c r="A277" s="25" t="s">
        <v>740</v>
      </c>
      <c r="B277" s="6" t="s">
        <v>739</v>
      </c>
      <c r="C277" s="7">
        <v>4995000</v>
      </c>
    </row>
    <row r="278" spans="1:3" x14ac:dyDescent="0.35">
      <c r="A278" s="25" t="s">
        <v>178</v>
      </c>
      <c r="B278" s="6" t="s">
        <v>177</v>
      </c>
      <c r="C278" s="7">
        <v>4995000</v>
      </c>
    </row>
    <row r="279" spans="1:3" x14ac:dyDescent="0.35">
      <c r="A279" s="25" t="s">
        <v>561</v>
      </c>
      <c r="B279" s="6" t="s">
        <v>560</v>
      </c>
      <c r="C279" s="7">
        <v>4995000</v>
      </c>
    </row>
    <row r="280" spans="1:3" x14ac:dyDescent="0.35">
      <c r="A280" s="25" t="s">
        <v>104</v>
      </c>
      <c r="B280" s="6" t="s">
        <v>103</v>
      </c>
      <c r="C280" s="7">
        <v>4995000</v>
      </c>
    </row>
    <row r="281" spans="1:3" x14ac:dyDescent="0.35">
      <c r="A281" s="25" t="s">
        <v>747</v>
      </c>
      <c r="B281" s="6" t="s">
        <v>417</v>
      </c>
      <c r="C281" s="7">
        <v>4500000</v>
      </c>
    </row>
    <row r="282" spans="1:3" x14ac:dyDescent="0.35">
      <c r="A282" s="25" t="s">
        <v>749</v>
      </c>
      <c r="B282" s="6" t="s">
        <v>748</v>
      </c>
      <c r="C282" s="7">
        <v>4995000</v>
      </c>
    </row>
    <row r="283" spans="1:3" x14ac:dyDescent="0.35">
      <c r="A283" s="25" t="s">
        <v>801</v>
      </c>
      <c r="B283" s="6" t="s">
        <v>549</v>
      </c>
      <c r="C283" s="7">
        <v>4500000</v>
      </c>
    </row>
    <row r="284" spans="1:3" x14ac:dyDescent="0.35">
      <c r="A284" s="25" t="s">
        <v>802</v>
      </c>
      <c r="B284" s="6" t="s">
        <v>631</v>
      </c>
      <c r="C284" s="7">
        <v>4995000</v>
      </c>
    </row>
    <row r="285" spans="1:3" x14ac:dyDescent="0.35">
      <c r="A285" s="25" t="s">
        <v>803</v>
      </c>
      <c r="B285" s="6" t="s">
        <v>633</v>
      </c>
      <c r="C285" s="7">
        <v>4995000</v>
      </c>
    </row>
    <row r="286" spans="1:3" x14ac:dyDescent="0.35">
      <c r="A286" s="25" t="s">
        <v>804</v>
      </c>
      <c r="B286" s="6" t="s">
        <v>634</v>
      </c>
      <c r="C286" s="7">
        <v>4995000</v>
      </c>
    </row>
    <row r="287" spans="1:3" x14ac:dyDescent="0.35">
      <c r="A287" s="25" t="s">
        <v>806</v>
      </c>
      <c r="B287" s="6" t="s">
        <v>632</v>
      </c>
      <c r="C287" s="7">
        <v>4500000</v>
      </c>
    </row>
    <row r="288" spans="1:3" x14ac:dyDescent="0.35">
      <c r="A288" s="25" t="s">
        <v>807</v>
      </c>
      <c r="B288" s="6" t="s">
        <v>154</v>
      </c>
      <c r="C288" s="7">
        <v>4995000</v>
      </c>
    </row>
    <row r="289" spans="1:3" x14ac:dyDescent="0.35">
      <c r="A289" s="25" t="s">
        <v>811</v>
      </c>
      <c r="B289" s="6" t="s">
        <v>630</v>
      </c>
      <c r="C289" s="7">
        <v>4995000</v>
      </c>
    </row>
    <row r="290" spans="1:3" x14ac:dyDescent="0.35">
      <c r="A290" s="25" t="s">
        <v>815</v>
      </c>
      <c r="B290" s="6" t="s">
        <v>814</v>
      </c>
      <c r="C290" s="7">
        <v>4995000</v>
      </c>
    </row>
    <row r="291" spans="1:3" x14ac:dyDescent="0.35">
      <c r="A291" s="25" t="s">
        <v>541</v>
      </c>
      <c r="B291" s="6" t="s">
        <v>585</v>
      </c>
      <c r="C291" s="7">
        <v>4500000</v>
      </c>
    </row>
    <row r="292" spans="1:3" x14ac:dyDescent="0.35">
      <c r="A292" s="25" t="s">
        <v>1128</v>
      </c>
      <c r="B292" s="6" t="s">
        <v>432</v>
      </c>
      <c r="C292" s="7">
        <v>4995000</v>
      </c>
    </row>
    <row r="293" spans="1:3" x14ac:dyDescent="0.35">
      <c r="A293" s="25" t="s">
        <v>411</v>
      </c>
      <c r="B293" s="6" t="s">
        <v>410</v>
      </c>
      <c r="C293" s="7">
        <v>4500000</v>
      </c>
    </row>
    <row r="294" spans="1:3" x14ac:dyDescent="0.35">
      <c r="A294" s="25" t="s">
        <v>746</v>
      </c>
      <c r="B294" s="6" t="s">
        <v>745</v>
      </c>
      <c r="C294" s="7">
        <v>4995000</v>
      </c>
    </row>
    <row r="295" spans="1:3" x14ac:dyDescent="0.35">
      <c r="A295" s="25" t="s">
        <v>98</v>
      </c>
      <c r="B295" s="6" t="s">
        <v>97</v>
      </c>
      <c r="C295" s="7">
        <v>4995000</v>
      </c>
    </row>
    <row r="296" spans="1:3" x14ac:dyDescent="0.35">
      <c r="A296" s="25" t="s">
        <v>148</v>
      </c>
      <c r="B296" s="6" t="s">
        <v>147</v>
      </c>
      <c r="C296" s="7">
        <v>4995000</v>
      </c>
    </row>
    <row r="297" spans="1:3" x14ac:dyDescent="0.35">
      <c r="A297" s="25" t="s">
        <v>366</v>
      </c>
      <c r="B297" s="6" t="s">
        <v>365</v>
      </c>
      <c r="C297" s="7">
        <v>4995000</v>
      </c>
    </row>
    <row r="298" spans="1:3" x14ac:dyDescent="0.35">
      <c r="A298" s="25" t="s">
        <v>172</v>
      </c>
      <c r="B298" s="6" t="s">
        <v>171</v>
      </c>
      <c r="C298" s="7">
        <v>4995000</v>
      </c>
    </row>
    <row r="299" spans="1:3" x14ac:dyDescent="0.35">
      <c r="A299" s="25" t="s">
        <v>362</v>
      </c>
      <c r="B299" s="6" t="s">
        <v>690</v>
      </c>
      <c r="C299" s="7">
        <v>4995000</v>
      </c>
    </row>
    <row r="300" spans="1:3" x14ac:dyDescent="0.35">
      <c r="A300" s="25" t="s">
        <v>637</v>
      </c>
      <c r="B300" s="6" t="s">
        <v>628</v>
      </c>
      <c r="C300" s="7">
        <v>4995000</v>
      </c>
    </row>
    <row r="301" spans="1:3" x14ac:dyDescent="0.35">
      <c r="A301" s="25" t="s">
        <v>638</v>
      </c>
      <c r="B301" s="6" t="s">
        <v>629</v>
      </c>
      <c r="C301" s="7">
        <v>4995000</v>
      </c>
    </row>
    <row r="302" spans="1:3" x14ac:dyDescent="0.35">
      <c r="A302" s="25" t="s">
        <v>7</v>
      </c>
      <c r="B302" s="6" t="s">
        <v>6</v>
      </c>
      <c r="C302" s="7">
        <v>4500000</v>
      </c>
    </row>
    <row r="303" spans="1:3" x14ac:dyDescent="0.35">
      <c r="A303" s="25" t="s">
        <v>9</v>
      </c>
      <c r="B303" s="6" t="s">
        <v>91</v>
      </c>
      <c r="C303" s="7">
        <v>4500000</v>
      </c>
    </row>
    <row r="304" spans="1:3" x14ac:dyDescent="0.35">
      <c r="A304" s="25" t="s">
        <v>14</v>
      </c>
      <c r="B304" s="6" t="s">
        <v>13</v>
      </c>
      <c r="C304" s="7">
        <v>4995000</v>
      </c>
    </row>
    <row r="305" spans="1:3" x14ac:dyDescent="0.35">
      <c r="A305" s="25" t="s">
        <v>567</v>
      </c>
      <c r="B305" s="6" t="s">
        <v>566</v>
      </c>
      <c r="C305" s="7">
        <v>4500000</v>
      </c>
    </row>
    <row r="306" spans="1:3" x14ac:dyDescent="0.35">
      <c r="A306" s="25" t="s">
        <v>390</v>
      </c>
      <c r="B306" s="6" t="s">
        <v>389</v>
      </c>
      <c r="C306" s="7">
        <v>4995000</v>
      </c>
    </row>
    <row r="307" spans="1:3" x14ac:dyDescent="0.35">
      <c r="A307" s="25" t="s">
        <v>1129</v>
      </c>
      <c r="B307" s="6" t="s">
        <v>685</v>
      </c>
      <c r="C307" s="7">
        <v>4500000</v>
      </c>
    </row>
    <row r="308" spans="1:3" x14ac:dyDescent="0.35">
      <c r="A308" s="25" t="s">
        <v>244</v>
      </c>
      <c r="B308" s="6" t="s">
        <v>243</v>
      </c>
      <c r="C308" s="7">
        <v>4995000</v>
      </c>
    </row>
    <row r="309" spans="1:3" x14ac:dyDescent="0.35">
      <c r="A309" s="25" t="s">
        <v>615</v>
      </c>
      <c r="B309" s="6" t="s">
        <v>47</v>
      </c>
      <c r="C309" s="7">
        <v>4995000</v>
      </c>
    </row>
    <row r="310" spans="1:3" x14ac:dyDescent="0.35">
      <c r="A310" s="25" t="s">
        <v>257</v>
      </c>
      <c r="B310" s="6" t="s">
        <v>256</v>
      </c>
      <c r="C310" s="7">
        <v>4995000</v>
      </c>
    </row>
    <row r="311" spans="1:3" x14ac:dyDescent="0.35">
      <c r="A311" s="25" t="s">
        <v>16</v>
      </c>
      <c r="B311" s="6" t="s">
        <v>15</v>
      </c>
      <c r="C311" s="7">
        <v>4995000</v>
      </c>
    </row>
    <row r="312" spans="1:3" x14ac:dyDescent="0.35">
      <c r="A312" s="25" t="s">
        <v>517</v>
      </c>
      <c r="B312" s="6" t="s">
        <v>503</v>
      </c>
      <c r="C312" s="7">
        <v>4500000</v>
      </c>
    </row>
    <row r="313" spans="1:3" x14ac:dyDescent="0.35">
      <c r="A313" s="25" t="s">
        <v>181</v>
      </c>
      <c r="B313" s="6" t="s">
        <v>518</v>
      </c>
      <c r="C313" s="7">
        <v>4500000</v>
      </c>
    </row>
    <row r="314" spans="1:3" x14ac:dyDescent="0.35">
      <c r="A314" s="25" t="s">
        <v>462</v>
      </c>
      <c r="B314" s="6" t="s">
        <v>543</v>
      </c>
      <c r="C314" s="7">
        <v>4995000</v>
      </c>
    </row>
    <row r="315" spans="1:3" x14ac:dyDescent="0.35">
      <c r="A315" s="25" t="s">
        <v>463</v>
      </c>
      <c r="B315" s="6" t="s">
        <v>153</v>
      </c>
      <c r="C315" s="7">
        <v>4500000</v>
      </c>
    </row>
    <row r="316" spans="1:3" x14ac:dyDescent="0.35">
      <c r="A316" s="25" t="s">
        <v>565</v>
      </c>
      <c r="B316" s="6" t="s">
        <v>564</v>
      </c>
      <c r="C316" s="7">
        <v>4500000</v>
      </c>
    </row>
    <row r="317" spans="1:3" x14ac:dyDescent="0.35">
      <c r="A317" s="25" t="s">
        <v>681</v>
      </c>
      <c r="B317" s="6" t="s">
        <v>680</v>
      </c>
      <c r="C317" s="7">
        <v>4500000</v>
      </c>
    </row>
    <row r="318" spans="1:3" x14ac:dyDescent="0.35">
      <c r="A318" s="25" t="s">
        <v>836</v>
      </c>
      <c r="B318" s="6" t="s">
        <v>296</v>
      </c>
      <c r="C318" s="7">
        <v>4230000</v>
      </c>
    </row>
    <row r="319" spans="1:3" x14ac:dyDescent="0.35">
      <c r="A319" s="25" t="s">
        <v>430</v>
      </c>
      <c r="B319" s="6" t="s">
        <v>429</v>
      </c>
      <c r="C319" s="7">
        <v>3960000</v>
      </c>
    </row>
    <row r="320" spans="1:3" x14ac:dyDescent="0.35">
      <c r="A320" s="25" t="s">
        <v>436</v>
      </c>
      <c r="B320" s="6" t="s">
        <v>435</v>
      </c>
      <c r="C320" s="7">
        <v>3690000</v>
      </c>
    </row>
    <row r="321" spans="1:3" x14ac:dyDescent="0.35">
      <c r="A321" s="25" t="s">
        <v>445</v>
      </c>
      <c r="B321" s="6" t="s">
        <v>444</v>
      </c>
      <c r="C321" s="7">
        <v>3690000</v>
      </c>
    </row>
    <row r="322" spans="1:3" x14ac:dyDescent="0.35">
      <c r="A322" s="25" t="s">
        <v>447</v>
      </c>
      <c r="B322" s="6" t="s">
        <v>446</v>
      </c>
      <c r="C322" s="7">
        <v>3960000</v>
      </c>
    </row>
    <row r="323" spans="1:3" x14ac:dyDescent="0.35">
      <c r="A323" s="25" t="s">
        <v>863</v>
      </c>
      <c r="B323" s="6" t="s">
        <v>862</v>
      </c>
      <c r="C323" s="7">
        <v>3690000</v>
      </c>
    </row>
    <row r="324" spans="1:3" x14ac:dyDescent="0.35">
      <c r="A324" s="25" t="s">
        <v>869</v>
      </c>
      <c r="B324" s="6" t="s">
        <v>868</v>
      </c>
      <c r="C324" s="7">
        <v>3690000</v>
      </c>
    </row>
    <row r="325" spans="1:3" x14ac:dyDescent="0.35">
      <c r="A325" s="25" t="s">
        <v>871</v>
      </c>
      <c r="B325" s="6" t="s">
        <v>870</v>
      </c>
      <c r="C325" s="7">
        <v>3690000</v>
      </c>
    </row>
    <row r="326" spans="1:3" x14ac:dyDescent="0.35">
      <c r="A326" s="25" t="s">
        <v>873</v>
      </c>
      <c r="B326" s="6" t="s">
        <v>872</v>
      </c>
      <c r="C326" s="7">
        <v>2520000</v>
      </c>
    </row>
    <row r="327" spans="1:3" x14ac:dyDescent="0.35">
      <c r="A327" s="25" t="s">
        <v>874</v>
      </c>
      <c r="B327" s="6" t="s">
        <v>1246</v>
      </c>
      <c r="C327" s="7">
        <v>3690000</v>
      </c>
    </row>
    <row r="328" spans="1:3" x14ac:dyDescent="0.35">
      <c r="A328" s="25" t="s">
        <v>876</v>
      </c>
      <c r="B328" s="6" t="s">
        <v>875</v>
      </c>
      <c r="C328" s="7">
        <v>3690000</v>
      </c>
    </row>
    <row r="329" spans="1:3" x14ac:dyDescent="0.35">
      <c r="A329" s="25" t="s">
        <v>878</v>
      </c>
      <c r="B329" s="6" t="s">
        <v>877</v>
      </c>
      <c r="C329" s="7">
        <v>3690000</v>
      </c>
    </row>
    <row r="330" spans="1:3" x14ac:dyDescent="0.35">
      <c r="A330" s="25" t="s">
        <v>663</v>
      </c>
      <c r="B330" s="6" t="s">
        <v>662</v>
      </c>
      <c r="C330" s="7">
        <v>2520000</v>
      </c>
    </row>
    <row r="331" spans="1:3" x14ac:dyDescent="0.35">
      <c r="A331" s="25" t="s">
        <v>657</v>
      </c>
      <c r="B331" s="6" t="s">
        <v>448</v>
      </c>
      <c r="C331" s="7">
        <v>3690000</v>
      </c>
    </row>
    <row r="332" spans="1:3" x14ac:dyDescent="0.35">
      <c r="A332" s="25" t="s">
        <v>888</v>
      </c>
      <c r="B332" s="6" t="s">
        <v>887</v>
      </c>
      <c r="C332" s="7">
        <v>2520000</v>
      </c>
    </row>
    <row r="333" spans="1:3" x14ac:dyDescent="0.35">
      <c r="A333" s="25" t="s">
        <v>590</v>
      </c>
      <c r="B333" s="6" t="s">
        <v>674</v>
      </c>
      <c r="C333" s="7">
        <v>2520000</v>
      </c>
    </row>
    <row r="334" spans="1:3" x14ac:dyDescent="0.35">
      <c r="A334" s="25" t="s">
        <v>927</v>
      </c>
      <c r="B334" s="6" t="s">
        <v>926</v>
      </c>
      <c r="C334" s="7">
        <v>2520000</v>
      </c>
    </row>
    <row r="335" spans="1:3" x14ac:dyDescent="0.35">
      <c r="A335" s="25" t="s">
        <v>800</v>
      </c>
      <c r="B335" s="6" t="s">
        <v>548</v>
      </c>
      <c r="C335" s="7">
        <v>2520000</v>
      </c>
    </row>
    <row r="336" spans="1:3" x14ac:dyDescent="0.35">
      <c r="A336" s="25" t="s">
        <v>930</v>
      </c>
      <c r="B336" s="6" t="s">
        <v>929</v>
      </c>
      <c r="C336" s="7">
        <v>2520000</v>
      </c>
    </row>
    <row r="337" spans="1:3" x14ac:dyDescent="0.35">
      <c r="A337" s="25" t="s">
        <v>933</v>
      </c>
      <c r="B337" s="6" t="s">
        <v>146</v>
      </c>
      <c r="C337" s="7">
        <v>2520000</v>
      </c>
    </row>
    <row r="338" spans="1:3" x14ac:dyDescent="0.35">
      <c r="A338" s="25" t="s">
        <v>946</v>
      </c>
      <c r="B338" s="6" t="s">
        <v>635</v>
      </c>
      <c r="C338" s="7">
        <v>2520000</v>
      </c>
    </row>
    <row r="339" spans="1:3" x14ac:dyDescent="0.35">
      <c r="A339" s="25" t="s">
        <v>949</v>
      </c>
      <c r="B339" s="6" t="s">
        <v>948</v>
      </c>
      <c r="C339" s="7">
        <v>2520000</v>
      </c>
    </row>
    <row r="340" spans="1:3" x14ac:dyDescent="0.35">
      <c r="A340" s="25" t="s">
        <v>951</v>
      </c>
      <c r="B340" s="6" t="s">
        <v>950</v>
      </c>
      <c r="C340" s="7">
        <v>1800000</v>
      </c>
    </row>
    <row r="341" spans="1:3" x14ac:dyDescent="0.35">
      <c r="A341" s="25" t="s">
        <v>955</v>
      </c>
      <c r="B341" s="6" t="s">
        <v>954</v>
      </c>
      <c r="C341" s="7">
        <v>2520000</v>
      </c>
    </row>
    <row r="342" spans="1:3" x14ac:dyDescent="0.35">
      <c r="A342" s="25" t="s">
        <v>960</v>
      </c>
      <c r="B342" s="6" t="s">
        <v>959</v>
      </c>
      <c r="C342" s="7">
        <v>2520000</v>
      </c>
    </row>
    <row r="343" spans="1:3" x14ac:dyDescent="0.35">
      <c r="A343" s="25" t="s">
        <v>964</v>
      </c>
      <c r="B343" s="6" t="s">
        <v>963</v>
      </c>
      <c r="C343" s="7">
        <v>2520000</v>
      </c>
    </row>
    <row r="344" spans="1:3" x14ac:dyDescent="0.35">
      <c r="A344" s="25" t="s">
        <v>980</v>
      </c>
      <c r="B344" s="6" t="s">
        <v>979</v>
      </c>
      <c r="C344" s="7">
        <v>2430000</v>
      </c>
    </row>
    <row r="345" spans="1:3" x14ac:dyDescent="0.35">
      <c r="A345" s="25" t="s">
        <v>838</v>
      </c>
      <c r="B345" s="6" t="s">
        <v>837</v>
      </c>
      <c r="C345" s="7">
        <v>200000</v>
      </c>
    </row>
    <row r="346" spans="1:3" x14ac:dyDescent="0.35">
      <c r="A346" s="25" t="s">
        <v>847</v>
      </c>
      <c r="B346" s="6" t="s">
        <v>846</v>
      </c>
      <c r="C346" s="7">
        <v>2520000</v>
      </c>
    </row>
    <row r="347" spans="1:3" x14ac:dyDescent="0.35">
      <c r="A347" s="25" t="s">
        <v>985</v>
      </c>
      <c r="B347" s="6" t="s">
        <v>984</v>
      </c>
      <c r="C347" s="7">
        <v>2430000</v>
      </c>
    </row>
    <row r="348" spans="1:3" x14ac:dyDescent="0.35">
      <c r="A348" s="25" t="s">
        <v>852</v>
      </c>
      <c r="B348" s="6" t="s">
        <v>851</v>
      </c>
      <c r="C348" s="7">
        <v>2520000</v>
      </c>
    </row>
    <row r="349" spans="1:3" x14ac:dyDescent="0.35">
      <c r="A349" s="25" t="s">
        <v>278</v>
      </c>
      <c r="B349" s="6" t="s">
        <v>722</v>
      </c>
      <c r="C349" s="7">
        <v>2520000</v>
      </c>
    </row>
    <row r="350" spans="1:3" x14ac:dyDescent="0.35">
      <c r="A350" s="25" t="s">
        <v>1003</v>
      </c>
      <c r="B350" s="6" t="s">
        <v>1002</v>
      </c>
      <c r="C350" s="7">
        <v>1350000</v>
      </c>
    </row>
    <row r="351" spans="1:3" x14ac:dyDescent="0.35">
      <c r="A351" s="25" t="s">
        <v>1006</v>
      </c>
      <c r="B351" s="6" t="s">
        <v>1005</v>
      </c>
      <c r="C351" s="7">
        <v>2430000</v>
      </c>
    </row>
    <row r="352" spans="1:3" x14ac:dyDescent="0.35">
      <c r="A352" s="25" t="s">
        <v>1021</v>
      </c>
      <c r="B352" s="6" t="s">
        <v>86</v>
      </c>
      <c r="C352" s="7">
        <v>1800000</v>
      </c>
    </row>
    <row r="353" spans="1:3" x14ac:dyDescent="0.35">
      <c r="A353" s="25" t="s">
        <v>1024</v>
      </c>
      <c r="B353" s="6" t="s">
        <v>1023</v>
      </c>
      <c r="C353" s="7">
        <v>1800000</v>
      </c>
    </row>
    <row r="354" spans="1:3" x14ac:dyDescent="0.35">
      <c r="A354" s="25" t="s">
        <v>856</v>
      </c>
      <c r="B354" s="6" t="s">
        <v>855</v>
      </c>
      <c r="C354" s="7">
        <v>2520000</v>
      </c>
    </row>
    <row r="355" spans="1:3" x14ac:dyDescent="0.35">
      <c r="A355" s="25" t="s">
        <v>1035</v>
      </c>
      <c r="B355" s="6" t="s">
        <v>1034</v>
      </c>
      <c r="C355" s="7">
        <v>2430000</v>
      </c>
    </row>
    <row r="356" spans="1:3" x14ac:dyDescent="0.35">
      <c r="A356" s="25" t="s">
        <v>830</v>
      </c>
      <c r="B356" s="6" t="s">
        <v>829</v>
      </c>
      <c r="C356" s="7">
        <v>2520000</v>
      </c>
    </row>
    <row r="357" spans="1:3" x14ac:dyDescent="0.35">
      <c r="A357" s="25" t="s">
        <v>885</v>
      </c>
      <c r="B357" s="6" t="s">
        <v>884</v>
      </c>
      <c r="C357" s="7">
        <v>2520000</v>
      </c>
    </row>
    <row r="358" spans="1:3" x14ac:dyDescent="0.35">
      <c r="A358" s="25" t="s">
        <v>893</v>
      </c>
      <c r="B358" s="6" t="s">
        <v>892</v>
      </c>
      <c r="C358" s="7">
        <v>2520000</v>
      </c>
    </row>
    <row r="359" spans="1:3" x14ac:dyDescent="0.35">
      <c r="A359" s="25" t="s">
        <v>896</v>
      </c>
      <c r="B359" s="6" t="s">
        <v>895</v>
      </c>
      <c r="C359" s="7">
        <v>1350000</v>
      </c>
    </row>
    <row r="360" spans="1:3" x14ac:dyDescent="0.35">
      <c r="A360" s="25" t="s">
        <v>899</v>
      </c>
      <c r="B360" s="6" t="s">
        <v>898</v>
      </c>
      <c r="C360" s="7">
        <v>2430000</v>
      </c>
    </row>
    <row r="361" spans="1:3" x14ac:dyDescent="0.35">
      <c r="A361" s="25" t="s">
        <v>907</v>
      </c>
      <c r="B361" s="6" t="s">
        <v>906</v>
      </c>
      <c r="C361" s="7">
        <v>2520000</v>
      </c>
    </row>
    <row r="362" spans="1:3" x14ac:dyDescent="0.35">
      <c r="A362" s="25" t="s">
        <v>909</v>
      </c>
      <c r="B362" s="6" t="s">
        <v>908</v>
      </c>
      <c r="C362" s="7">
        <v>2520000</v>
      </c>
    </row>
    <row r="363" spans="1:3" x14ac:dyDescent="0.35">
      <c r="A363" s="25" t="s">
        <v>911</v>
      </c>
      <c r="B363" s="6" t="s">
        <v>910</v>
      </c>
      <c r="C363" s="7">
        <v>1980000</v>
      </c>
    </row>
    <row r="364" spans="1:3" x14ac:dyDescent="0.35">
      <c r="A364" s="25" t="s">
        <v>913</v>
      </c>
      <c r="B364" s="6" t="s">
        <v>912</v>
      </c>
      <c r="C364" s="7">
        <v>2430000</v>
      </c>
    </row>
    <row r="365" spans="1:3" x14ac:dyDescent="0.35">
      <c r="A365" s="25" t="s">
        <v>915</v>
      </c>
      <c r="B365" s="6" t="s">
        <v>914</v>
      </c>
      <c r="C365" s="7">
        <v>200000</v>
      </c>
    </row>
    <row r="366" spans="1:3" x14ac:dyDescent="0.35">
      <c r="A366" s="25" t="s">
        <v>918</v>
      </c>
      <c r="B366" s="6" t="s">
        <v>917</v>
      </c>
      <c r="C366" s="7">
        <v>2430000</v>
      </c>
    </row>
    <row r="367" spans="1:3" x14ac:dyDescent="0.35">
      <c r="A367" s="25" t="s">
        <v>1073</v>
      </c>
      <c r="B367" s="6" t="s">
        <v>1072</v>
      </c>
      <c r="C367" s="7">
        <v>1350000</v>
      </c>
    </row>
    <row r="368" spans="1:3" x14ac:dyDescent="0.35">
      <c r="A368" s="25" t="s">
        <v>922</v>
      </c>
      <c r="B368" s="6" t="s">
        <v>921</v>
      </c>
      <c r="C368" s="7">
        <v>1800000</v>
      </c>
    </row>
    <row r="369" spans="1:3" x14ac:dyDescent="0.35">
      <c r="A369" s="25" t="s">
        <v>799</v>
      </c>
      <c r="B369" s="6" t="s">
        <v>544</v>
      </c>
      <c r="C369" s="7">
        <v>1800000</v>
      </c>
    </row>
    <row r="370" spans="1:3" x14ac:dyDescent="0.35">
      <c r="A370" s="25" t="s">
        <v>797</v>
      </c>
      <c r="B370" s="6" t="s">
        <v>156</v>
      </c>
      <c r="C370" s="7">
        <v>1800000</v>
      </c>
    </row>
    <row r="371" spans="1:3" x14ac:dyDescent="0.35">
      <c r="A371" s="25" t="s">
        <v>932</v>
      </c>
      <c r="B371" s="6" t="s">
        <v>931</v>
      </c>
      <c r="C371" s="7">
        <v>900000</v>
      </c>
    </row>
    <row r="372" spans="1:3" x14ac:dyDescent="0.35">
      <c r="A372" s="25" t="s">
        <v>798</v>
      </c>
      <c r="B372" s="6" t="s">
        <v>220</v>
      </c>
      <c r="C372" s="7">
        <v>1800000</v>
      </c>
    </row>
    <row r="373" spans="1:3" x14ac:dyDescent="0.35">
      <c r="A373" s="25" t="s">
        <v>1152</v>
      </c>
      <c r="B373" s="6" t="s">
        <v>1151</v>
      </c>
      <c r="C373" s="7">
        <v>1800000</v>
      </c>
    </row>
    <row r="374" spans="1:3" x14ac:dyDescent="0.35">
      <c r="A374" s="25" t="s">
        <v>843</v>
      </c>
      <c r="B374" s="6" t="s">
        <v>842</v>
      </c>
      <c r="C374" s="7">
        <v>1800000</v>
      </c>
    </row>
    <row r="375" spans="1:3" x14ac:dyDescent="0.35">
      <c r="A375" s="25" t="s">
        <v>853</v>
      </c>
      <c r="B375" s="6" t="s">
        <v>300</v>
      </c>
      <c r="C375" s="7">
        <v>1620000</v>
      </c>
    </row>
    <row r="376" spans="1:3" x14ac:dyDescent="0.35">
      <c r="A376" s="25" t="s">
        <v>808</v>
      </c>
      <c r="B376" s="6" t="s">
        <v>546</v>
      </c>
      <c r="C376" s="7">
        <v>1800000</v>
      </c>
    </row>
    <row r="377" spans="1:3" x14ac:dyDescent="0.35">
      <c r="A377" s="25" t="s">
        <v>434</v>
      </c>
      <c r="B377" s="6" t="s">
        <v>433</v>
      </c>
      <c r="C377" s="7">
        <v>1800000</v>
      </c>
    </row>
    <row r="378" spans="1:3" x14ac:dyDescent="0.35">
      <c r="A378" s="25" t="s">
        <v>1077</v>
      </c>
      <c r="B378" s="6" t="s">
        <v>1076</v>
      </c>
      <c r="C378" s="7">
        <v>1170000</v>
      </c>
    </row>
    <row r="379" spans="1:3" x14ac:dyDescent="0.35">
      <c r="A379" s="25" t="s">
        <v>659</v>
      </c>
      <c r="B379" s="6" t="s">
        <v>658</v>
      </c>
      <c r="C379" s="7">
        <v>400000</v>
      </c>
    </row>
    <row r="380" spans="1:3" x14ac:dyDescent="0.35">
      <c r="A380" s="25" t="s">
        <v>1051</v>
      </c>
      <c r="B380" s="6" t="s">
        <v>1050</v>
      </c>
      <c r="C380" s="7">
        <v>200000</v>
      </c>
    </row>
    <row r="381" spans="1:3" x14ac:dyDescent="0.35">
      <c r="A381" s="25" t="s">
        <v>793</v>
      </c>
      <c r="B381" s="6" t="s">
        <v>791</v>
      </c>
      <c r="C381" s="7">
        <v>200000</v>
      </c>
    </row>
    <row r="382" spans="1:3" x14ac:dyDescent="0.35">
      <c r="A382" s="25" t="s">
        <v>1157</v>
      </c>
      <c r="B382" s="6" t="s">
        <v>1156</v>
      </c>
      <c r="C382" s="7">
        <v>400000</v>
      </c>
    </row>
    <row r="383" spans="1:3" x14ac:dyDescent="0.35">
      <c r="A383" s="25" t="s">
        <v>993</v>
      </c>
      <c r="B383" s="6" t="s">
        <v>992</v>
      </c>
      <c r="C383" s="7">
        <v>600000</v>
      </c>
    </row>
    <row r="384" spans="1:3" x14ac:dyDescent="0.35">
      <c r="A384" s="25" t="s">
        <v>1009</v>
      </c>
      <c r="B384" s="6" t="s">
        <v>1008</v>
      </c>
      <c r="C384" s="7">
        <v>200000</v>
      </c>
    </row>
    <row r="385" spans="1:3" x14ac:dyDescent="0.35">
      <c r="A385" s="25" t="s">
        <v>1189</v>
      </c>
      <c r="B385" s="6" t="s">
        <v>1188</v>
      </c>
      <c r="C385" s="7">
        <v>400000</v>
      </c>
    </row>
    <row r="386" spans="1:3" x14ac:dyDescent="0.35">
      <c r="A386" s="25" t="s">
        <v>469</v>
      </c>
      <c r="B386" s="6" t="s">
        <v>473</v>
      </c>
      <c r="C386" s="7">
        <v>7110000</v>
      </c>
    </row>
    <row r="387" spans="1:3" x14ac:dyDescent="0.35">
      <c r="A387" s="25" t="s">
        <v>688</v>
      </c>
      <c r="B387" s="6" t="s">
        <v>715</v>
      </c>
      <c r="C387" s="7">
        <v>7537500</v>
      </c>
    </row>
    <row r="388" spans="1:3" x14ac:dyDescent="0.35">
      <c r="A388" s="25" t="s">
        <v>659</v>
      </c>
      <c r="B388" s="6" t="s">
        <v>658</v>
      </c>
      <c r="C388" s="7">
        <v>300000</v>
      </c>
    </row>
    <row r="389" spans="1:3" x14ac:dyDescent="0.35">
      <c r="A389" s="25" t="s">
        <v>1157</v>
      </c>
      <c r="B389" s="6" t="s">
        <v>1156</v>
      </c>
      <c r="C389" s="7">
        <v>300000</v>
      </c>
    </row>
    <row r="390" spans="1:3" x14ac:dyDescent="0.35">
      <c r="A390" s="20" t="s">
        <v>1189</v>
      </c>
      <c r="B390" t="s">
        <v>1188</v>
      </c>
      <c r="C390" s="7"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DF26-7BAA-4A83-A795-A70E14274336}">
  <dimension ref="A1:M280"/>
  <sheetViews>
    <sheetView topLeftCell="E33" workbookViewId="0">
      <selection activeCell="H47" sqref="H47"/>
    </sheetView>
  </sheetViews>
  <sheetFormatPr defaultRowHeight="14.5" x14ac:dyDescent="0.35"/>
  <cols>
    <col min="1" max="1" width="29.6328125" bestFit="1" customWidth="1"/>
    <col min="2" max="2" width="17" bestFit="1" customWidth="1"/>
    <col min="4" max="4" width="18.6328125" style="11" customWidth="1"/>
    <col min="5" max="5" width="15.1796875" style="11" bestFit="1" customWidth="1"/>
    <col min="6" max="6" width="12.90625" style="11" bestFit="1" customWidth="1"/>
    <col min="7" max="7" width="13.81640625" style="11" bestFit="1" customWidth="1"/>
    <col min="8" max="9" width="13.54296875" bestFit="1" customWidth="1"/>
    <col min="10" max="10" width="28.6328125" style="11" bestFit="1" customWidth="1"/>
    <col min="11" max="11" width="17.90625" bestFit="1" customWidth="1"/>
    <col min="12" max="12" width="12.36328125" bestFit="1" customWidth="1"/>
    <col min="13" max="13" width="22.6328125" bestFit="1" customWidth="1"/>
  </cols>
  <sheetData>
    <row r="1" spans="1:13" s="22" customFormat="1" x14ac:dyDescent="0.35">
      <c r="A1" s="21" t="s">
        <v>286</v>
      </c>
      <c r="B1" s="21" t="s">
        <v>287</v>
      </c>
      <c r="C1" s="22" t="s">
        <v>1249</v>
      </c>
      <c r="D1" s="21" t="s">
        <v>1317</v>
      </c>
      <c r="E1" s="23" t="s">
        <v>1318</v>
      </c>
      <c r="F1" s="23" t="s">
        <v>1240</v>
      </c>
      <c r="G1" s="23" t="s">
        <v>1239</v>
      </c>
      <c r="H1" s="23" t="s">
        <v>1245</v>
      </c>
      <c r="I1" s="23" t="s">
        <v>1245</v>
      </c>
      <c r="J1" s="23" t="s">
        <v>1244</v>
      </c>
      <c r="K1" s="23" t="s">
        <v>1242</v>
      </c>
      <c r="L1" s="23" t="s">
        <v>1241</v>
      </c>
      <c r="M1" s="23" t="s">
        <v>1243</v>
      </c>
    </row>
    <row r="2" spans="1:13" x14ac:dyDescent="0.35">
      <c r="A2" s="3" t="s">
        <v>512</v>
      </c>
      <c r="B2" s="2" t="s">
        <v>1405</v>
      </c>
      <c r="C2">
        <v>3300000</v>
      </c>
      <c r="D2" s="19">
        <v>1100000</v>
      </c>
      <c r="E2" s="18">
        <v>10</v>
      </c>
      <c r="F2" s="18">
        <v>7</v>
      </c>
      <c r="G2" s="18">
        <v>3</v>
      </c>
      <c r="H2" s="1">
        <v>110</v>
      </c>
      <c r="I2" s="5">
        <v>10000000</v>
      </c>
      <c r="J2" s="17">
        <v>10000000</v>
      </c>
      <c r="K2" s="4">
        <v>11000000</v>
      </c>
      <c r="L2" s="4">
        <v>1000000</v>
      </c>
      <c r="M2" s="4">
        <v>300000</v>
      </c>
    </row>
    <row r="3" spans="1:13" x14ac:dyDescent="0.35">
      <c r="A3" s="3" t="s">
        <v>756</v>
      </c>
      <c r="B3" s="2" t="s">
        <v>1407</v>
      </c>
      <c r="C3">
        <v>9787500</v>
      </c>
      <c r="D3" s="19">
        <v>1087500</v>
      </c>
      <c r="E3" s="18">
        <v>16</v>
      </c>
      <c r="F3" s="18">
        <v>7</v>
      </c>
      <c r="G3" s="18">
        <v>9</v>
      </c>
      <c r="H3" s="1">
        <v>116</v>
      </c>
      <c r="I3" s="5">
        <v>15000000</v>
      </c>
      <c r="J3" s="17">
        <v>15000000</v>
      </c>
      <c r="K3" s="4">
        <v>17400000</v>
      </c>
      <c r="L3" s="4">
        <v>2400000</v>
      </c>
      <c r="M3" s="4">
        <v>1350000</v>
      </c>
    </row>
    <row r="4" spans="1:13" x14ac:dyDescent="0.35">
      <c r="A4" s="3" t="s">
        <v>702</v>
      </c>
      <c r="B4" s="2" t="s">
        <v>1467</v>
      </c>
      <c r="C4">
        <v>9787500</v>
      </c>
      <c r="D4" s="19">
        <v>1087500</v>
      </c>
      <c r="E4" s="18">
        <v>16</v>
      </c>
      <c r="F4" s="18">
        <v>7</v>
      </c>
      <c r="G4" s="18">
        <v>9</v>
      </c>
      <c r="H4" s="1">
        <v>116</v>
      </c>
      <c r="I4" s="5">
        <v>15000000</v>
      </c>
      <c r="J4" s="17">
        <v>15000000</v>
      </c>
      <c r="K4" s="4">
        <v>17400000</v>
      </c>
      <c r="L4" s="4">
        <v>2400000</v>
      </c>
      <c r="M4" s="4">
        <v>1350000</v>
      </c>
    </row>
    <row r="5" spans="1:13" x14ac:dyDescent="0.35">
      <c r="A5" s="3" t="s">
        <v>475</v>
      </c>
      <c r="B5" s="2" t="s">
        <v>1409</v>
      </c>
      <c r="C5">
        <v>18182610</v>
      </c>
      <c r="D5" s="19">
        <v>1069565</v>
      </c>
      <c r="E5" s="18">
        <v>23.000004674797697</v>
      </c>
      <c r="F5" s="18">
        <v>6.0000046747976974</v>
      </c>
      <c r="G5" s="18">
        <v>17</v>
      </c>
      <c r="H5" s="1">
        <v>123.00000467479769</v>
      </c>
      <c r="I5" s="5">
        <v>19999999.239870325</v>
      </c>
      <c r="J5" s="17">
        <v>20000000</v>
      </c>
      <c r="K5" s="4">
        <v>24600000</v>
      </c>
      <c r="L5" s="4">
        <v>4600000</v>
      </c>
      <c r="M5" s="4">
        <v>3399999.3089430896</v>
      </c>
    </row>
    <row r="6" spans="1:13" x14ac:dyDescent="0.35">
      <c r="A6" s="3" t="s">
        <v>114</v>
      </c>
      <c r="B6" s="2" t="s">
        <v>1399</v>
      </c>
      <c r="C6">
        <v>2640000</v>
      </c>
      <c r="D6" s="19">
        <v>660000</v>
      </c>
      <c r="E6" s="18">
        <v>10</v>
      </c>
      <c r="F6" s="18">
        <v>6</v>
      </c>
      <c r="G6" s="18">
        <v>4</v>
      </c>
      <c r="H6" s="1">
        <v>110</v>
      </c>
      <c r="I6" s="5">
        <v>6000000</v>
      </c>
      <c r="J6" s="17">
        <v>6000000</v>
      </c>
      <c r="K6" s="4">
        <v>6600000</v>
      </c>
      <c r="L6" s="4">
        <v>600000</v>
      </c>
      <c r="M6" s="4">
        <v>240000</v>
      </c>
    </row>
    <row r="7" spans="1:13" x14ac:dyDescent="0.35">
      <c r="A7" s="3" t="s">
        <v>508</v>
      </c>
      <c r="B7" s="2" t="s">
        <v>1402</v>
      </c>
      <c r="C7">
        <v>4400000</v>
      </c>
      <c r="D7" s="19">
        <v>1100000</v>
      </c>
      <c r="E7" s="18">
        <v>10</v>
      </c>
      <c r="F7" s="18">
        <v>6</v>
      </c>
      <c r="G7" s="18">
        <v>4</v>
      </c>
      <c r="H7" s="1">
        <v>110</v>
      </c>
      <c r="I7" s="5">
        <v>10000000</v>
      </c>
      <c r="J7" s="17">
        <v>10000000</v>
      </c>
      <c r="K7" s="4">
        <v>11000000</v>
      </c>
      <c r="L7" s="4">
        <v>1000000</v>
      </c>
      <c r="M7" s="4">
        <v>400000</v>
      </c>
    </row>
    <row r="8" spans="1:13" x14ac:dyDescent="0.35">
      <c r="A8" s="3" t="s">
        <v>93</v>
      </c>
      <c r="B8" s="2" t="s">
        <v>1397</v>
      </c>
      <c r="C8">
        <v>20321740</v>
      </c>
      <c r="D8" s="19">
        <v>1069565</v>
      </c>
      <c r="E8" s="18">
        <v>23.000004674797697</v>
      </c>
      <c r="F8" s="18">
        <v>4.0000046747976974</v>
      </c>
      <c r="G8" s="18">
        <v>19</v>
      </c>
      <c r="H8" s="1">
        <v>123.00000467479769</v>
      </c>
      <c r="I8" s="5">
        <v>19999999.239870325</v>
      </c>
      <c r="J8" s="17">
        <v>20000000</v>
      </c>
      <c r="K8" s="4">
        <v>24600000</v>
      </c>
      <c r="L8" s="4">
        <v>4600000</v>
      </c>
      <c r="M8" s="4">
        <v>3799999.2276422763</v>
      </c>
    </row>
    <row r="9" spans="1:13" x14ac:dyDescent="0.35">
      <c r="A9" s="3" t="s">
        <v>1131</v>
      </c>
      <c r="B9" s="2" t="s">
        <v>1478</v>
      </c>
      <c r="C9">
        <v>13050000</v>
      </c>
      <c r="D9" s="19">
        <v>1087500</v>
      </c>
      <c r="E9" s="18">
        <v>16</v>
      </c>
      <c r="F9" s="18">
        <v>4</v>
      </c>
      <c r="G9" s="18">
        <v>12</v>
      </c>
      <c r="H9" s="1">
        <v>116</v>
      </c>
      <c r="I9" s="5">
        <v>15000000</v>
      </c>
      <c r="J9" s="17">
        <v>15000000</v>
      </c>
      <c r="K9" s="4">
        <v>17400000</v>
      </c>
      <c r="L9" s="4">
        <v>2400000</v>
      </c>
      <c r="M9" s="4">
        <v>1800000</v>
      </c>
    </row>
    <row r="10" spans="1:13" x14ac:dyDescent="0.35">
      <c r="A10" s="3" t="s">
        <v>98</v>
      </c>
      <c r="B10" s="2" t="s">
        <v>1474</v>
      </c>
      <c r="C10">
        <v>7063636</v>
      </c>
      <c r="D10" s="19">
        <v>1009091</v>
      </c>
      <c r="E10" s="18">
        <v>10.999999009009098</v>
      </c>
      <c r="F10" s="18">
        <v>3.9999990090090982</v>
      </c>
      <c r="G10" s="18">
        <v>7</v>
      </c>
      <c r="H10" s="1">
        <v>110.9999990090091</v>
      </c>
      <c r="I10" s="5">
        <v>10000000.089278461</v>
      </c>
      <c r="J10" s="17">
        <v>10000000</v>
      </c>
      <c r="K10" s="4">
        <v>11100000</v>
      </c>
      <c r="L10" s="4">
        <v>1100000</v>
      </c>
      <c r="M10" s="4">
        <v>700000.06306306308</v>
      </c>
    </row>
    <row r="11" spans="1:13" x14ac:dyDescent="0.35">
      <c r="A11" s="3" t="s">
        <v>335</v>
      </c>
      <c r="B11" s="2" t="s">
        <v>1468</v>
      </c>
      <c r="C11">
        <v>3150000</v>
      </c>
      <c r="D11" s="19">
        <v>1050000</v>
      </c>
      <c r="E11" s="18">
        <v>5</v>
      </c>
      <c r="F11" s="18">
        <v>2</v>
      </c>
      <c r="G11" s="18">
        <v>3</v>
      </c>
      <c r="H11" s="1">
        <v>105</v>
      </c>
      <c r="I11" s="5">
        <v>5000000</v>
      </c>
      <c r="J11" s="17">
        <v>5000000</v>
      </c>
      <c r="K11" s="4">
        <v>5250000</v>
      </c>
      <c r="L11" s="4">
        <v>250000</v>
      </c>
      <c r="M11" s="4">
        <v>150000</v>
      </c>
    </row>
    <row r="12" spans="1:13" x14ac:dyDescent="0.35">
      <c r="A12" s="3" t="s">
        <v>958</v>
      </c>
      <c r="B12" s="2" t="s">
        <v>1562</v>
      </c>
      <c r="C12">
        <v>3150000</v>
      </c>
      <c r="D12" s="19">
        <v>1050000</v>
      </c>
      <c r="E12" s="18">
        <v>5</v>
      </c>
      <c r="F12" s="18">
        <v>2</v>
      </c>
      <c r="G12" s="18">
        <v>3</v>
      </c>
      <c r="H12" s="1">
        <v>105</v>
      </c>
      <c r="I12" s="5">
        <v>5000000</v>
      </c>
      <c r="J12" s="17">
        <v>5000000</v>
      </c>
      <c r="K12" s="4">
        <v>5250000</v>
      </c>
      <c r="L12" s="4">
        <v>250000</v>
      </c>
      <c r="M12" s="4">
        <v>150000</v>
      </c>
    </row>
    <row r="13" spans="1:13" ht="23" x14ac:dyDescent="0.35">
      <c r="A13" s="3" t="s">
        <v>966</v>
      </c>
      <c r="B13" s="2" t="s">
        <v>1563</v>
      </c>
      <c r="C13">
        <v>4400000</v>
      </c>
      <c r="D13" s="19">
        <v>550000</v>
      </c>
      <c r="E13" s="18">
        <v>10</v>
      </c>
      <c r="F13" s="18">
        <v>2</v>
      </c>
      <c r="G13" s="18">
        <v>8</v>
      </c>
      <c r="H13" s="1">
        <v>110</v>
      </c>
      <c r="I13" s="5">
        <v>5000000</v>
      </c>
      <c r="J13" s="17">
        <v>5000000</v>
      </c>
      <c r="K13" s="4">
        <v>5500000</v>
      </c>
      <c r="L13" s="4">
        <v>500000</v>
      </c>
      <c r="M13" s="4">
        <v>400000</v>
      </c>
    </row>
    <row r="14" spans="1:13" x14ac:dyDescent="0.35">
      <c r="A14" s="3" t="s">
        <v>852</v>
      </c>
      <c r="B14" s="2" t="s">
        <v>1639</v>
      </c>
      <c r="C14">
        <v>7560000</v>
      </c>
      <c r="D14" s="19">
        <v>1080000</v>
      </c>
      <c r="E14" s="18">
        <v>8</v>
      </c>
      <c r="F14" s="18">
        <v>1</v>
      </c>
      <c r="G14" s="18">
        <v>7</v>
      </c>
      <c r="H14" s="1">
        <v>108</v>
      </c>
      <c r="I14" s="5">
        <v>8000000</v>
      </c>
      <c r="J14" s="17">
        <v>8000000</v>
      </c>
      <c r="K14" s="4">
        <v>8640000</v>
      </c>
      <c r="L14" s="4">
        <v>640000</v>
      </c>
      <c r="M14" s="4">
        <v>560000</v>
      </c>
    </row>
    <row r="15" spans="1:13" ht="23" x14ac:dyDescent="0.35">
      <c r="A15" s="3" t="s">
        <v>373</v>
      </c>
      <c r="B15" s="2" t="s">
        <v>1398</v>
      </c>
      <c r="C15">
        <v>23290909</v>
      </c>
      <c r="D15" s="19">
        <v>1109091</v>
      </c>
      <c r="E15" s="18">
        <v>21.99999819672146</v>
      </c>
      <c r="F15" s="18">
        <v>0.99999819672146018</v>
      </c>
      <c r="G15" s="18">
        <v>21</v>
      </c>
      <c r="H15" s="1">
        <v>121.99999819672146</v>
      </c>
      <c r="I15" s="5">
        <v>20000000.295619436</v>
      </c>
      <c r="J15" s="17">
        <v>20000000</v>
      </c>
      <c r="K15" s="4">
        <v>24400000</v>
      </c>
      <c r="L15" s="4">
        <v>4400000</v>
      </c>
      <c r="M15" s="4">
        <v>4200000.3442622945</v>
      </c>
    </row>
    <row r="16" spans="1:13" x14ac:dyDescent="0.35">
      <c r="A16" s="3" t="s">
        <v>946</v>
      </c>
      <c r="B16" s="2" t="s">
        <v>1537</v>
      </c>
      <c r="C16">
        <v>3027272</v>
      </c>
      <c r="D16" s="19">
        <v>1009091</v>
      </c>
      <c r="E16" s="18">
        <v>10.999999009009098</v>
      </c>
      <c r="F16" s="18">
        <v>7.9999990090090982</v>
      </c>
      <c r="G16" s="18">
        <v>3</v>
      </c>
      <c r="H16" s="1">
        <v>110.9999990090091</v>
      </c>
      <c r="I16" s="5">
        <v>10000000.089278461</v>
      </c>
      <c r="J16" s="17">
        <v>10000000</v>
      </c>
      <c r="K16" s="4">
        <v>11100000</v>
      </c>
      <c r="L16" s="4">
        <v>1100000</v>
      </c>
      <c r="M16" s="4">
        <v>300000.02702702704</v>
      </c>
    </row>
    <row r="17" spans="1:13" x14ac:dyDescent="0.35">
      <c r="A17" s="3" t="s">
        <v>107</v>
      </c>
      <c r="B17" s="2" t="s">
        <v>1543</v>
      </c>
      <c r="C17">
        <v>16043480</v>
      </c>
      <c r="D17" s="19">
        <v>1069565</v>
      </c>
      <c r="E17" s="18">
        <v>23.000004674797697</v>
      </c>
      <c r="F17" s="18">
        <v>8.0000046747976974</v>
      </c>
      <c r="G17" s="18">
        <v>15</v>
      </c>
      <c r="H17" s="1">
        <v>123.00000467479769</v>
      </c>
      <c r="I17" s="5">
        <v>19999999.239870325</v>
      </c>
      <c r="J17" s="17">
        <v>20000000</v>
      </c>
      <c r="K17" s="4">
        <v>24600000</v>
      </c>
      <c r="L17" s="4">
        <v>4600000</v>
      </c>
      <c r="M17" s="4">
        <v>2999999.3902439023</v>
      </c>
    </row>
    <row r="18" spans="1:13" x14ac:dyDescent="0.35">
      <c r="A18" s="3" t="s">
        <v>978</v>
      </c>
      <c r="B18" s="2" t="s">
        <v>1587</v>
      </c>
      <c r="C18">
        <v>1650000</v>
      </c>
      <c r="D18" s="19">
        <v>550000</v>
      </c>
      <c r="E18" s="18">
        <v>10</v>
      </c>
      <c r="F18" s="18">
        <v>7</v>
      </c>
      <c r="G18" s="18">
        <v>3</v>
      </c>
      <c r="H18" s="1">
        <v>110</v>
      </c>
      <c r="I18" s="5">
        <v>5000000</v>
      </c>
      <c r="J18" s="17">
        <v>5000000</v>
      </c>
      <c r="K18" s="4">
        <v>5500000</v>
      </c>
      <c r="L18" s="4">
        <v>500000</v>
      </c>
      <c r="M18" s="4">
        <v>150000</v>
      </c>
    </row>
    <row r="19" spans="1:13" ht="23" x14ac:dyDescent="0.35">
      <c r="A19" s="3" t="s">
        <v>993</v>
      </c>
      <c r="B19" s="2" t="s">
        <v>1607</v>
      </c>
      <c r="C19">
        <v>3300000</v>
      </c>
      <c r="D19" s="19">
        <v>1100000</v>
      </c>
      <c r="E19" s="18">
        <v>10</v>
      </c>
      <c r="F19" s="18">
        <v>7</v>
      </c>
      <c r="G19" s="18">
        <v>3</v>
      </c>
      <c r="H19" s="1">
        <v>110</v>
      </c>
      <c r="I19" s="5">
        <v>10000000</v>
      </c>
      <c r="J19" s="17">
        <v>10000000</v>
      </c>
      <c r="K19" s="4">
        <v>11000000</v>
      </c>
      <c r="L19" s="4">
        <v>1000000</v>
      </c>
      <c r="M19" s="4">
        <v>300000</v>
      </c>
    </row>
    <row r="20" spans="1:13" x14ac:dyDescent="0.35">
      <c r="A20" s="3" t="s">
        <v>1112</v>
      </c>
      <c r="B20" s="2" t="s">
        <v>1542</v>
      </c>
      <c r="C20">
        <v>10323529</v>
      </c>
      <c r="D20" s="19">
        <v>1032353</v>
      </c>
      <c r="E20" s="18">
        <v>16.999999031339087</v>
      </c>
      <c r="F20" s="18">
        <v>6.9999990313390867</v>
      </c>
      <c r="G20" s="18">
        <v>10</v>
      </c>
      <c r="H20" s="1">
        <v>116.99999903133909</v>
      </c>
      <c r="I20" s="5">
        <v>15000000.124187298</v>
      </c>
      <c r="J20" s="17">
        <v>15000000</v>
      </c>
      <c r="K20" s="4">
        <v>17550000</v>
      </c>
      <c r="L20" s="4">
        <v>2550000</v>
      </c>
      <c r="M20" s="4">
        <v>1500000.0854700853</v>
      </c>
    </row>
    <row r="21" spans="1:13" x14ac:dyDescent="0.35">
      <c r="A21" s="3" t="s">
        <v>804</v>
      </c>
      <c r="B21" s="2" t="s">
        <v>1580</v>
      </c>
      <c r="C21">
        <v>10816669</v>
      </c>
      <c r="D21" s="19">
        <v>983333</v>
      </c>
      <c r="E21" s="18">
        <v>18.000006101696982</v>
      </c>
      <c r="F21" s="18">
        <v>7.0000061016969823</v>
      </c>
      <c r="G21" s="18">
        <v>11</v>
      </c>
      <c r="H21" s="1">
        <v>118.00000610169698</v>
      </c>
      <c r="I21" s="5">
        <v>14999999.224360593</v>
      </c>
      <c r="J21" s="17">
        <v>15000000</v>
      </c>
      <c r="K21" s="4">
        <v>17700000</v>
      </c>
      <c r="L21" s="4">
        <v>2700000</v>
      </c>
      <c r="M21" s="4">
        <v>1649999.4406779665</v>
      </c>
    </row>
    <row r="22" spans="1:13" ht="23" x14ac:dyDescent="0.35">
      <c r="A22" s="3" t="s">
        <v>1180</v>
      </c>
      <c r="B22" s="2" t="s">
        <v>1608</v>
      </c>
      <c r="C22">
        <v>4400000</v>
      </c>
      <c r="D22" s="19">
        <v>1100000</v>
      </c>
      <c r="E22" s="18">
        <v>10</v>
      </c>
      <c r="F22" s="18">
        <v>6</v>
      </c>
      <c r="G22" s="18">
        <v>4</v>
      </c>
      <c r="H22" s="1">
        <v>110</v>
      </c>
      <c r="I22" s="5">
        <v>10000000</v>
      </c>
      <c r="J22" s="17">
        <v>10000000</v>
      </c>
      <c r="K22" s="4">
        <v>11000000</v>
      </c>
      <c r="L22" s="4">
        <v>1000000</v>
      </c>
      <c r="M22" s="4">
        <v>400000</v>
      </c>
    </row>
    <row r="23" spans="1:13" x14ac:dyDescent="0.35">
      <c r="A23" s="3" t="s">
        <v>909</v>
      </c>
      <c r="B23" s="2" t="s">
        <v>1602</v>
      </c>
      <c r="C23">
        <v>19963636</v>
      </c>
      <c r="D23" s="19">
        <v>1109091</v>
      </c>
      <c r="E23" s="18">
        <v>21.99999819672146</v>
      </c>
      <c r="F23" s="18">
        <v>3.9999981967214602</v>
      </c>
      <c r="G23" s="18">
        <v>18</v>
      </c>
      <c r="H23" s="1">
        <v>121.99999819672146</v>
      </c>
      <c r="I23" s="5">
        <v>20000000.295619436</v>
      </c>
      <c r="J23" s="17">
        <v>20000000</v>
      </c>
      <c r="K23" s="4">
        <v>24400000</v>
      </c>
      <c r="L23" s="4">
        <v>4400000</v>
      </c>
      <c r="M23" s="4">
        <v>3600000.295081967</v>
      </c>
    </row>
    <row r="24" spans="1:13" x14ac:dyDescent="0.35">
      <c r="A24" s="3" t="s">
        <v>332</v>
      </c>
      <c r="B24" s="2" t="s">
        <v>1547</v>
      </c>
      <c r="C24">
        <v>13050000</v>
      </c>
      <c r="D24" s="19">
        <v>1087500</v>
      </c>
      <c r="E24" s="18">
        <v>16</v>
      </c>
      <c r="F24" s="18">
        <v>4</v>
      </c>
      <c r="G24" s="18">
        <v>12</v>
      </c>
      <c r="H24" s="1">
        <v>116</v>
      </c>
      <c r="I24" s="5">
        <v>15000000</v>
      </c>
      <c r="J24" s="17">
        <v>15000000</v>
      </c>
      <c r="K24" s="4">
        <v>17400000</v>
      </c>
      <c r="L24" s="4">
        <v>2400000</v>
      </c>
      <c r="M24" s="4">
        <v>1800000</v>
      </c>
    </row>
    <row r="25" spans="1:13" ht="23" x14ac:dyDescent="0.35">
      <c r="A25" s="3" t="s">
        <v>878</v>
      </c>
      <c r="B25" s="2" t="s">
        <v>1584</v>
      </c>
      <c r="C25">
        <v>9081818</v>
      </c>
      <c r="D25" s="19">
        <v>1009091</v>
      </c>
      <c r="E25" s="18">
        <v>10.999999009009098</v>
      </c>
      <c r="F25" s="18">
        <v>1.9999990090090982</v>
      </c>
      <c r="G25" s="18">
        <v>9</v>
      </c>
      <c r="H25" s="1">
        <v>110.9999990090091</v>
      </c>
      <c r="I25" s="5">
        <v>10000000.089278461</v>
      </c>
      <c r="J25" s="17">
        <v>10000000</v>
      </c>
      <c r="K25" s="4">
        <v>11100000</v>
      </c>
      <c r="L25" s="4">
        <v>1100000</v>
      </c>
      <c r="M25" s="4">
        <v>900000.08108108107</v>
      </c>
    </row>
    <row r="26" spans="1:13" x14ac:dyDescent="0.35">
      <c r="A26" s="3" t="s">
        <v>794</v>
      </c>
      <c r="B26" s="2" t="s">
        <v>1534</v>
      </c>
      <c r="C26">
        <v>15225000</v>
      </c>
      <c r="D26" s="19">
        <v>1087500</v>
      </c>
      <c r="E26" s="18">
        <v>16</v>
      </c>
      <c r="F26" s="18">
        <v>2</v>
      </c>
      <c r="G26" s="18">
        <v>14</v>
      </c>
      <c r="H26" s="1">
        <v>116</v>
      </c>
      <c r="I26" s="5">
        <v>15000000</v>
      </c>
      <c r="J26" s="17">
        <v>15000000</v>
      </c>
      <c r="K26" s="4">
        <v>17400000</v>
      </c>
      <c r="L26" s="4">
        <v>2400000</v>
      </c>
      <c r="M26" s="4">
        <v>2100000</v>
      </c>
    </row>
    <row r="27" spans="1:13" ht="23" x14ac:dyDescent="0.35">
      <c r="A27" s="3" t="s">
        <v>661</v>
      </c>
      <c r="B27" s="2" t="s">
        <v>1604</v>
      </c>
      <c r="C27">
        <v>15225000</v>
      </c>
      <c r="D27" s="19">
        <v>1087500</v>
      </c>
      <c r="E27" s="18">
        <v>16</v>
      </c>
      <c r="F27" s="18">
        <v>2</v>
      </c>
      <c r="G27" s="18">
        <v>14</v>
      </c>
      <c r="H27" s="1">
        <v>116</v>
      </c>
      <c r="I27" s="5">
        <v>15000000</v>
      </c>
      <c r="J27" s="17">
        <v>15000000</v>
      </c>
      <c r="K27" s="4">
        <v>17400000</v>
      </c>
      <c r="L27" s="4">
        <v>2400000</v>
      </c>
      <c r="M27" s="4">
        <v>2100000</v>
      </c>
    </row>
    <row r="28" spans="1:13" x14ac:dyDescent="0.35">
      <c r="A28" s="3" t="s">
        <v>977</v>
      </c>
      <c r="B28" s="2" t="s">
        <v>1586</v>
      </c>
      <c r="C28">
        <v>1040000</v>
      </c>
      <c r="D28" s="19">
        <v>520000</v>
      </c>
      <c r="E28" s="18">
        <v>4</v>
      </c>
      <c r="F28" s="18">
        <v>2</v>
      </c>
      <c r="G28" s="18">
        <v>2</v>
      </c>
      <c r="H28" s="1">
        <v>104</v>
      </c>
      <c r="I28" s="5">
        <v>2000000</v>
      </c>
      <c r="J28" s="17">
        <v>2000000</v>
      </c>
      <c r="K28" s="4">
        <v>2080000</v>
      </c>
      <c r="L28" s="4">
        <v>80000</v>
      </c>
      <c r="M28" s="4">
        <v>40000</v>
      </c>
    </row>
    <row r="29" spans="1:13" x14ac:dyDescent="0.35">
      <c r="A29" s="3" t="s">
        <v>865</v>
      </c>
      <c r="B29" s="2" t="s">
        <v>1640</v>
      </c>
      <c r="C29">
        <v>3120000</v>
      </c>
      <c r="D29" s="19">
        <v>1040000</v>
      </c>
      <c r="E29" s="18">
        <v>4</v>
      </c>
      <c r="F29" s="18">
        <v>1</v>
      </c>
      <c r="G29" s="18">
        <v>3</v>
      </c>
      <c r="H29" s="1">
        <v>104</v>
      </c>
      <c r="I29" s="5">
        <v>4000000</v>
      </c>
      <c r="J29" s="17">
        <v>4000000</v>
      </c>
      <c r="K29" s="4">
        <v>4160000</v>
      </c>
      <c r="L29" s="4">
        <v>160000</v>
      </c>
      <c r="M29" s="4">
        <v>120000</v>
      </c>
    </row>
    <row r="30" spans="1:13" x14ac:dyDescent="0.35">
      <c r="A30" s="3" t="s">
        <v>1335</v>
      </c>
      <c r="B30" s="2" t="s">
        <v>1641</v>
      </c>
      <c r="C30">
        <v>9900000</v>
      </c>
      <c r="D30" s="19">
        <v>1100000</v>
      </c>
      <c r="E30" s="18">
        <v>10</v>
      </c>
      <c r="F30" s="18">
        <v>1</v>
      </c>
      <c r="G30" s="18">
        <v>9</v>
      </c>
      <c r="H30" s="1">
        <v>110</v>
      </c>
      <c r="I30" s="5">
        <v>10000000</v>
      </c>
      <c r="J30" s="17">
        <v>10000000</v>
      </c>
      <c r="K30" s="4">
        <v>11000000</v>
      </c>
      <c r="L30" s="4">
        <v>1000000</v>
      </c>
      <c r="M30" s="4">
        <v>900000</v>
      </c>
    </row>
    <row r="31" spans="1:13" x14ac:dyDescent="0.35">
      <c r="A31" s="3" t="s">
        <v>7</v>
      </c>
      <c r="B31" s="2" t="s">
        <v>1498</v>
      </c>
      <c r="C31">
        <v>3027272</v>
      </c>
      <c r="D31" s="19">
        <v>1009091</v>
      </c>
      <c r="E31" s="18">
        <v>10.999999009009098</v>
      </c>
      <c r="F31" s="18">
        <v>7.9999990090090982</v>
      </c>
      <c r="G31" s="18">
        <v>3</v>
      </c>
      <c r="H31" s="1">
        <v>110.9999990090091</v>
      </c>
      <c r="I31" s="5">
        <v>10000000.089278461</v>
      </c>
      <c r="J31" s="17">
        <v>10000000</v>
      </c>
      <c r="K31" s="4">
        <v>11100000</v>
      </c>
      <c r="L31" s="4">
        <v>1100000</v>
      </c>
      <c r="M31" s="4">
        <v>300000.02702702704</v>
      </c>
    </row>
    <row r="32" spans="1:13" x14ac:dyDescent="0.35">
      <c r="A32" s="3" t="s">
        <v>863</v>
      </c>
      <c r="B32" s="2" t="s">
        <v>1500</v>
      </c>
      <c r="C32">
        <v>3027272</v>
      </c>
      <c r="D32" s="19">
        <v>1009091</v>
      </c>
      <c r="E32" s="18">
        <v>10.999999009009098</v>
      </c>
      <c r="F32" s="18">
        <v>7.9999990090090982</v>
      </c>
      <c r="G32" s="18">
        <v>3</v>
      </c>
      <c r="H32" s="1">
        <v>110.9999990090091</v>
      </c>
      <c r="I32" s="5">
        <v>10000000.089278461</v>
      </c>
      <c r="J32" s="17">
        <v>10000000</v>
      </c>
      <c r="K32" s="4">
        <v>11100000</v>
      </c>
      <c r="L32" s="4">
        <v>1100000</v>
      </c>
      <c r="M32" s="4">
        <v>300000.02702702704</v>
      </c>
    </row>
    <row r="33" spans="1:13" x14ac:dyDescent="0.35">
      <c r="A33" s="3" t="s">
        <v>1021</v>
      </c>
      <c r="B33" s="2" t="s">
        <v>1502</v>
      </c>
      <c r="C33">
        <v>16043480</v>
      </c>
      <c r="D33" s="19">
        <v>1069565</v>
      </c>
      <c r="E33" s="18">
        <v>23.000004674797697</v>
      </c>
      <c r="F33" s="18">
        <v>8.0000046747976974</v>
      </c>
      <c r="G33" s="18">
        <v>15</v>
      </c>
      <c r="H33" s="1">
        <v>123.00000467479769</v>
      </c>
      <c r="I33" s="5">
        <v>19999999.239870325</v>
      </c>
      <c r="J33" s="17">
        <v>20000000</v>
      </c>
      <c r="K33" s="4">
        <v>24600000</v>
      </c>
      <c r="L33" s="4">
        <v>4600000</v>
      </c>
      <c r="M33" s="4">
        <v>2999999.3902439023</v>
      </c>
    </row>
    <row r="34" spans="1:13" x14ac:dyDescent="0.35">
      <c r="A34" s="3" t="s">
        <v>266</v>
      </c>
      <c r="B34" s="2" t="s">
        <v>1419</v>
      </c>
      <c r="C34">
        <v>17113045</v>
      </c>
      <c r="D34" s="19">
        <v>1069565</v>
      </c>
      <c r="E34" s="18">
        <v>23.000004674797697</v>
      </c>
      <c r="F34" s="18">
        <v>7.0000046747976974</v>
      </c>
      <c r="G34" s="18">
        <v>16</v>
      </c>
      <c r="H34" s="1">
        <v>123.00000467479769</v>
      </c>
      <c r="I34" s="5">
        <v>19999999.239870325</v>
      </c>
      <c r="J34" s="17">
        <v>20000000</v>
      </c>
      <c r="K34" s="4">
        <v>24600000</v>
      </c>
      <c r="L34" s="4">
        <v>4600000</v>
      </c>
      <c r="M34" s="4">
        <v>3199999.349593496</v>
      </c>
    </row>
    <row r="35" spans="1:13" x14ac:dyDescent="0.35">
      <c r="A35" s="3" t="s">
        <v>430</v>
      </c>
      <c r="B35" s="2" t="s">
        <v>1499</v>
      </c>
      <c r="C35">
        <v>18600002</v>
      </c>
      <c r="D35" s="19">
        <v>1033333</v>
      </c>
      <c r="E35" s="18">
        <v>24.000007741937981</v>
      </c>
      <c r="F35" s="18">
        <v>6.0000077419379814</v>
      </c>
      <c r="G35" s="18">
        <v>18</v>
      </c>
      <c r="H35" s="1">
        <v>124.00000774193798</v>
      </c>
      <c r="I35" s="5">
        <v>19999998.751300406</v>
      </c>
      <c r="J35" s="17">
        <v>20000000</v>
      </c>
      <c r="K35" s="4">
        <v>24800000</v>
      </c>
      <c r="L35" s="4">
        <v>4800000</v>
      </c>
      <c r="M35" s="4">
        <v>3599998.8387096776</v>
      </c>
    </row>
    <row r="36" spans="1:13" x14ac:dyDescent="0.35">
      <c r="A36" s="3" t="s">
        <v>717</v>
      </c>
      <c r="B36" s="2" t="s">
        <v>1421</v>
      </c>
      <c r="C36">
        <v>13050000</v>
      </c>
      <c r="D36" s="19">
        <v>1087500</v>
      </c>
      <c r="E36" s="18">
        <v>16</v>
      </c>
      <c r="F36" s="18">
        <v>4</v>
      </c>
      <c r="G36" s="18">
        <v>12</v>
      </c>
      <c r="H36" s="1">
        <v>116</v>
      </c>
      <c r="I36" s="5">
        <v>15000000</v>
      </c>
      <c r="J36" s="17">
        <v>15000000</v>
      </c>
      <c r="K36" s="4">
        <v>17400000</v>
      </c>
      <c r="L36" s="4">
        <v>2400000</v>
      </c>
      <c r="M36" s="4">
        <v>1800000</v>
      </c>
    </row>
    <row r="37" spans="1:13" x14ac:dyDescent="0.35">
      <c r="A37" s="3" t="s">
        <v>589</v>
      </c>
      <c r="B37" s="2" t="s">
        <v>1412</v>
      </c>
      <c r="C37">
        <v>13050000</v>
      </c>
      <c r="D37" s="19">
        <v>1087500</v>
      </c>
      <c r="E37" s="18">
        <v>16</v>
      </c>
      <c r="F37" s="18">
        <v>4</v>
      </c>
      <c r="G37" s="18">
        <v>12</v>
      </c>
      <c r="H37" s="1">
        <v>116</v>
      </c>
      <c r="I37" s="5">
        <v>15000000</v>
      </c>
      <c r="J37" s="17">
        <v>15000000</v>
      </c>
      <c r="K37" s="4">
        <v>17400000</v>
      </c>
      <c r="L37" s="4">
        <v>2400000</v>
      </c>
      <c r="M37" s="4">
        <v>1800000</v>
      </c>
    </row>
    <row r="38" spans="1:13" x14ac:dyDescent="0.35">
      <c r="A38" s="3" t="s">
        <v>743</v>
      </c>
      <c r="B38" s="2" t="s">
        <v>1420</v>
      </c>
      <c r="C38">
        <v>13050000</v>
      </c>
      <c r="D38" s="19">
        <v>1087500</v>
      </c>
      <c r="E38" s="18">
        <v>16</v>
      </c>
      <c r="F38" s="18">
        <v>4</v>
      </c>
      <c r="G38" s="18">
        <v>12</v>
      </c>
      <c r="H38" s="1">
        <v>116</v>
      </c>
      <c r="I38" s="5">
        <v>15000000</v>
      </c>
      <c r="J38" s="17">
        <v>15000000</v>
      </c>
      <c r="K38" s="4">
        <v>17400000</v>
      </c>
      <c r="L38" s="4">
        <v>2400000</v>
      </c>
      <c r="M38" s="4">
        <v>1800000</v>
      </c>
    </row>
    <row r="39" spans="1:13" x14ac:dyDescent="0.35">
      <c r="A39" s="3" t="s">
        <v>775</v>
      </c>
      <c r="B39" s="2" t="s">
        <v>1493</v>
      </c>
      <c r="C39">
        <v>13050000</v>
      </c>
      <c r="D39" s="19">
        <v>1087500</v>
      </c>
      <c r="E39" s="18">
        <v>16</v>
      </c>
      <c r="F39" s="18">
        <v>4</v>
      </c>
      <c r="G39" s="18">
        <v>12</v>
      </c>
      <c r="H39" s="1">
        <v>116</v>
      </c>
      <c r="I39" s="5">
        <v>15000000</v>
      </c>
      <c r="J39" s="17">
        <v>15000000</v>
      </c>
      <c r="K39" s="4">
        <v>17400000</v>
      </c>
      <c r="L39" s="4">
        <v>2400000</v>
      </c>
      <c r="M39" s="4">
        <v>1800000</v>
      </c>
    </row>
    <row r="40" spans="1:13" ht="23" x14ac:dyDescent="0.35">
      <c r="A40" s="3" t="s">
        <v>1162</v>
      </c>
      <c r="B40" s="2" t="s">
        <v>1504</v>
      </c>
      <c r="C40">
        <v>1050000</v>
      </c>
      <c r="D40" s="19">
        <v>1050000</v>
      </c>
      <c r="E40" s="18">
        <v>5</v>
      </c>
      <c r="F40" s="18">
        <v>4</v>
      </c>
      <c r="G40" s="18">
        <v>1</v>
      </c>
      <c r="H40" s="1">
        <v>105</v>
      </c>
      <c r="I40" s="5">
        <v>5000000</v>
      </c>
      <c r="J40" s="17">
        <v>5000000</v>
      </c>
      <c r="K40" s="4">
        <v>5250000</v>
      </c>
      <c r="L40" s="4">
        <v>250000</v>
      </c>
      <c r="M40" s="4">
        <v>50000</v>
      </c>
    </row>
    <row r="41" spans="1:13" x14ac:dyDescent="0.35">
      <c r="A41" s="3" t="s">
        <v>1102</v>
      </c>
      <c r="B41" s="2" t="s">
        <v>1414</v>
      </c>
      <c r="C41">
        <v>22460870</v>
      </c>
      <c r="D41" s="19">
        <v>1069565</v>
      </c>
      <c r="E41" s="18">
        <v>23.000004674797697</v>
      </c>
      <c r="F41" s="18">
        <v>2.0000046747976974</v>
      </c>
      <c r="G41" s="18">
        <v>21</v>
      </c>
      <c r="H41" s="1">
        <v>123.00000467479769</v>
      </c>
      <c r="I41" s="5">
        <v>19999999.239870325</v>
      </c>
      <c r="J41" s="17">
        <v>20000000</v>
      </c>
      <c r="K41" s="4">
        <v>24600000</v>
      </c>
      <c r="L41" s="4">
        <v>4600000</v>
      </c>
      <c r="M41" s="4">
        <v>4199999.1463414636</v>
      </c>
    </row>
    <row r="42" spans="1:13" x14ac:dyDescent="0.35">
      <c r="A42" s="3" t="s">
        <v>540</v>
      </c>
      <c r="B42" s="2" t="s">
        <v>1494</v>
      </c>
      <c r="C42">
        <v>15225000</v>
      </c>
      <c r="D42" s="19">
        <v>1087500</v>
      </c>
      <c r="E42" s="18">
        <v>16</v>
      </c>
      <c r="F42" s="18">
        <v>2</v>
      </c>
      <c r="G42" s="18">
        <v>14</v>
      </c>
      <c r="H42" s="1">
        <v>116</v>
      </c>
      <c r="I42" s="5">
        <v>15000000</v>
      </c>
      <c r="J42" s="17">
        <v>15000000</v>
      </c>
      <c r="K42" s="4">
        <v>17400000</v>
      </c>
      <c r="L42" s="4">
        <v>2400000</v>
      </c>
      <c r="M42" s="4">
        <v>2100000</v>
      </c>
    </row>
    <row r="43" spans="1:13" x14ac:dyDescent="0.35">
      <c r="A43" s="3" t="s">
        <v>1301</v>
      </c>
      <c r="B43" s="2" t="s">
        <v>1642</v>
      </c>
      <c r="C43">
        <v>4725000</v>
      </c>
      <c r="D43" s="19">
        <v>675000</v>
      </c>
      <c r="E43" s="18">
        <v>8</v>
      </c>
      <c r="F43" s="18">
        <v>1</v>
      </c>
      <c r="G43" s="18">
        <v>7</v>
      </c>
      <c r="H43" s="1">
        <v>108</v>
      </c>
      <c r="I43" s="5">
        <v>5000000</v>
      </c>
      <c r="J43" s="17">
        <v>5000000</v>
      </c>
      <c r="K43" s="4">
        <v>5400000</v>
      </c>
      <c r="L43" s="4">
        <v>400000</v>
      </c>
      <c r="M43" s="4">
        <v>350000</v>
      </c>
    </row>
    <row r="44" spans="1:13" ht="23" x14ac:dyDescent="0.35">
      <c r="A44" s="3" t="s">
        <v>1221</v>
      </c>
      <c r="B44" s="2" t="s">
        <v>1618</v>
      </c>
      <c r="C44">
        <v>810000</v>
      </c>
      <c r="D44" s="19">
        <v>810000</v>
      </c>
      <c r="E44" s="18">
        <v>8</v>
      </c>
      <c r="F44" s="18">
        <v>7</v>
      </c>
      <c r="G44" s="18">
        <v>1</v>
      </c>
      <c r="H44" s="1">
        <v>108</v>
      </c>
      <c r="I44" s="5">
        <v>6000000</v>
      </c>
      <c r="J44" s="17">
        <v>6000000</v>
      </c>
      <c r="K44" s="4">
        <v>6480000</v>
      </c>
      <c r="L44" s="4">
        <v>480000</v>
      </c>
      <c r="M44" s="4">
        <v>60000</v>
      </c>
    </row>
    <row r="45" spans="1:13" x14ac:dyDescent="0.35">
      <c r="A45" s="3" t="s">
        <v>1014</v>
      </c>
      <c r="B45" s="2" t="s">
        <v>1617</v>
      </c>
      <c r="C45">
        <v>3300000</v>
      </c>
      <c r="D45" s="19">
        <v>1100000</v>
      </c>
      <c r="E45" s="18">
        <v>10</v>
      </c>
      <c r="F45" s="18">
        <v>7</v>
      </c>
      <c r="G45" s="18">
        <v>3</v>
      </c>
      <c r="H45" s="1">
        <v>110</v>
      </c>
      <c r="I45" s="5">
        <v>10000000</v>
      </c>
      <c r="J45" s="17">
        <v>10000000</v>
      </c>
      <c r="K45" s="4">
        <v>11000000</v>
      </c>
      <c r="L45" s="4">
        <v>1000000</v>
      </c>
      <c r="M45" s="4">
        <v>300000</v>
      </c>
    </row>
    <row r="46" spans="1:13" x14ac:dyDescent="0.35">
      <c r="A46" s="3" t="s">
        <v>304</v>
      </c>
      <c r="B46" s="2" t="s">
        <v>1530</v>
      </c>
      <c r="C46">
        <v>20321740</v>
      </c>
      <c r="D46" s="19">
        <v>1069565</v>
      </c>
      <c r="E46" s="18">
        <v>23.000004674797697</v>
      </c>
      <c r="F46" s="18">
        <v>4.0000046747976974</v>
      </c>
      <c r="G46" s="18">
        <v>19</v>
      </c>
      <c r="H46" s="1">
        <v>123.00000467479769</v>
      </c>
      <c r="I46" s="5">
        <v>19999999.239870325</v>
      </c>
      <c r="J46" s="17">
        <v>20000000</v>
      </c>
      <c r="K46" s="4">
        <v>24600000</v>
      </c>
      <c r="L46" s="4">
        <v>4600000</v>
      </c>
      <c r="M46" s="4">
        <v>3799999.2276422763</v>
      </c>
    </row>
    <row r="47" spans="1:13" ht="23" x14ac:dyDescent="0.35">
      <c r="A47" s="3" t="s">
        <v>999</v>
      </c>
      <c r="B47" s="2" t="s">
        <v>1611</v>
      </c>
      <c r="C47">
        <v>6600000</v>
      </c>
      <c r="D47" s="19">
        <v>1100000</v>
      </c>
      <c r="E47" s="18">
        <v>10</v>
      </c>
      <c r="F47" s="18">
        <v>4</v>
      </c>
      <c r="G47" s="18">
        <v>6</v>
      </c>
      <c r="H47" s="1">
        <v>110</v>
      </c>
      <c r="I47" s="5">
        <v>10000000</v>
      </c>
      <c r="J47" s="17">
        <v>10000000</v>
      </c>
      <c r="K47" s="4">
        <v>11000000</v>
      </c>
      <c r="L47" s="4">
        <v>1000000</v>
      </c>
      <c r="M47" s="4">
        <v>600000</v>
      </c>
    </row>
    <row r="48" spans="1:13" x14ac:dyDescent="0.35">
      <c r="A48" s="3" t="s">
        <v>452</v>
      </c>
      <c r="B48" s="2" t="s">
        <v>1521</v>
      </c>
      <c r="C48">
        <v>6600000</v>
      </c>
      <c r="D48" s="19">
        <v>1100000</v>
      </c>
      <c r="E48" s="18">
        <v>10</v>
      </c>
      <c r="F48" s="18">
        <v>4</v>
      </c>
      <c r="G48" s="18">
        <v>6</v>
      </c>
      <c r="H48" s="1">
        <v>110</v>
      </c>
      <c r="I48" s="5">
        <v>10000000</v>
      </c>
      <c r="J48" s="17">
        <v>10000000</v>
      </c>
      <c r="K48" s="4">
        <v>11000000</v>
      </c>
      <c r="L48" s="4">
        <v>1000000</v>
      </c>
      <c r="M48" s="4">
        <v>600000</v>
      </c>
    </row>
    <row r="49" spans="1:13" x14ac:dyDescent="0.35">
      <c r="A49" s="3" t="s">
        <v>885</v>
      </c>
      <c r="B49" s="2" t="s">
        <v>1614</v>
      </c>
      <c r="C49">
        <v>9081818</v>
      </c>
      <c r="D49" s="19">
        <v>1009091</v>
      </c>
      <c r="E49" s="18">
        <v>10.999999009009098</v>
      </c>
      <c r="F49" s="18">
        <v>1.9999990090090982</v>
      </c>
      <c r="G49" s="18">
        <v>9</v>
      </c>
      <c r="H49" s="1">
        <v>110.9999990090091</v>
      </c>
      <c r="I49" s="5">
        <v>10000000.089278461</v>
      </c>
      <c r="J49" s="17">
        <v>10000000</v>
      </c>
      <c r="K49" s="4">
        <v>11100000</v>
      </c>
      <c r="L49" s="4">
        <v>1100000</v>
      </c>
      <c r="M49" s="4">
        <v>900000.08108108107</v>
      </c>
    </row>
    <row r="50" spans="1:13" x14ac:dyDescent="0.35">
      <c r="A50" s="3" t="s">
        <v>905</v>
      </c>
      <c r="B50" s="2" t="s">
        <v>1615</v>
      </c>
      <c r="C50">
        <v>4400000</v>
      </c>
      <c r="D50" s="19">
        <v>550000</v>
      </c>
      <c r="E50" s="18">
        <v>10</v>
      </c>
      <c r="F50" s="18">
        <v>2</v>
      </c>
      <c r="G50" s="18">
        <v>8</v>
      </c>
      <c r="H50" s="1">
        <v>110</v>
      </c>
      <c r="I50" s="5">
        <v>5000000</v>
      </c>
      <c r="J50" s="17">
        <v>5000000</v>
      </c>
      <c r="K50" s="4">
        <v>5500000</v>
      </c>
      <c r="L50" s="4">
        <v>500000</v>
      </c>
      <c r="M50" s="4">
        <v>400000</v>
      </c>
    </row>
    <row r="51" spans="1:13" x14ac:dyDescent="0.35">
      <c r="A51" s="3" t="s">
        <v>596</v>
      </c>
      <c r="B51" s="2" t="s">
        <v>1529</v>
      </c>
      <c r="C51">
        <v>8800000</v>
      </c>
      <c r="D51" s="19">
        <v>1100000</v>
      </c>
      <c r="E51" s="18">
        <v>10</v>
      </c>
      <c r="F51" s="18">
        <v>2</v>
      </c>
      <c r="G51" s="18">
        <v>8</v>
      </c>
      <c r="H51" s="1">
        <v>110</v>
      </c>
      <c r="I51" s="5">
        <v>10000000</v>
      </c>
      <c r="J51" s="17">
        <v>10000000</v>
      </c>
      <c r="K51" s="4">
        <v>11000000</v>
      </c>
      <c r="L51" s="4">
        <v>1000000</v>
      </c>
      <c r="M51" s="4">
        <v>800000</v>
      </c>
    </row>
    <row r="52" spans="1:13" ht="23" x14ac:dyDescent="0.35">
      <c r="A52" s="3" t="s">
        <v>876</v>
      </c>
      <c r="B52" s="2" t="s">
        <v>1643</v>
      </c>
      <c r="C52">
        <v>16517647</v>
      </c>
      <c r="D52" s="19">
        <v>1032353</v>
      </c>
      <c r="E52" s="18">
        <v>16.999999031339087</v>
      </c>
      <c r="F52" s="18">
        <v>0.99999903133908674</v>
      </c>
      <c r="G52" s="18">
        <v>16</v>
      </c>
      <c r="H52" s="1">
        <v>116.99999903133909</v>
      </c>
      <c r="I52" s="5">
        <v>15000000.124187298</v>
      </c>
      <c r="J52" s="17">
        <v>15000000</v>
      </c>
      <c r="K52" s="4">
        <v>17550000</v>
      </c>
      <c r="L52" s="4">
        <v>2550000</v>
      </c>
      <c r="M52" s="4">
        <v>2400000.1367521365</v>
      </c>
    </row>
    <row r="53" spans="1:13" x14ac:dyDescent="0.35">
      <c r="A53" s="3" t="s">
        <v>1347</v>
      </c>
      <c r="B53" s="2" t="s">
        <v>1644</v>
      </c>
      <c r="C53">
        <v>4200000</v>
      </c>
      <c r="D53" s="19">
        <v>1050000</v>
      </c>
      <c r="E53" s="18">
        <v>5</v>
      </c>
      <c r="F53" s="18">
        <v>1</v>
      </c>
      <c r="G53" s="18">
        <v>4</v>
      </c>
      <c r="H53" s="1">
        <v>105</v>
      </c>
      <c r="I53" s="5">
        <v>5000000</v>
      </c>
      <c r="J53" s="17">
        <v>5000000</v>
      </c>
      <c r="K53" s="4">
        <v>5250000</v>
      </c>
      <c r="L53" s="4">
        <v>250000</v>
      </c>
      <c r="M53" s="4">
        <v>200000</v>
      </c>
    </row>
    <row r="54" spans="1:13" x14ac:dyDescent="0.35">
      <c r="A54" s="3" t="s">
        <v>313</v>
      </c>
      <c r="B54" s="2" t="s">
        <v>1430</v>
      </c>
      <c r="C54">
        <v>1032352</v>
      </c>
      <c r="D54" s="19">
        <v>1032353</v>
      </c>
      <c r="E54" s="18">
        <v>12.999999031339087</v>
      </c>
      <c r="F54" s="18">
        <v>11.999999031339087</v>
      </c>
      <c r="G54" s="18">
        <v>1</v>
      </c>
      <c r="H54" s="1">
        <v>112.99999903133909</v>
      </c>
      <c r="I54" s="5">
        <v>11876626.650481628</v>
      </c>
      <c r="J54" s="17">
        <v>12000000</v>
      </c>
      <c r="K54" s="4">
        <v>13420588</v>
      </c>
      <c r="L54" s="4">
        <v>1420588</v>
      </c>
      <c r="M54" s="4">
        <v>109276.00814241522</v>
      </c>
    </row>
    <row r="55" spans="1:13" x14ac:dyDescent="0.35">
      <c r="A55" s="3" t="s">
        <v>676</v>
      </c>
      <c r="B55" s="2" t="s">
        <v>1382</v>
      </c>
      <c r="C55">
        <v>3027272</v>
      </c>
      <c r="D55" s="19">
        <v>1009091</v>
      </c>
      <c r="E55" s="18">
        <v>10.999999009009098</v>
      </c>
      <c r="F55" s="18">
        <v>7.9999990090090982</v>
      </c>
      <c r="G55" s="18">
        <v>3</v>
      </c>
      <c r="H55" s="1">
        <v>110.9999990090091</v>
      </c>
      <c r="I55" s="5">
        <v>10000000.089278461</v>
      </c>
      <c r="J55" s="17">
        <v>10000000</v>
      </c>
      <c r="K55" s="4">
        <v>11100000</v>
      </c>
      <c r="L55" s="4">
        <v>1100000</v>
      </c>
      <c r="M55" s="4">
        <v>300000.02702702704</v>
      </c>
    </row>
    <row r="56" spans="1:13" x14ac:dyDescent="0.35">
      <c r="A56" s="3" t="s">
        <v>815</v>
      </c>
      <c r="B56" s="2" t="s">
        <v>1457</v>
      </c>
      <c r="C56">
        <v>3027272</v>
      </c>
      <c r="D56" s="19">
        <v>1009091</v>
      </c>
      <c r="E56" s="18">
        <v>10.999999009009098</v>
      </c>
      <c r="F56" s="18">
        <v>7.9999990090090982</v>
      </c>
      <c r="G56" s="18">
        <v>3</v>
      </c>
      <c r="H56" s="1">
        <v>110.9999990090091</v>
      </c>
      <c r="I56" s="5">
        <v>10000000.089278461</v>
      </c>
      <c r="J56" s="17">
        <v>10000000</v>
      </c>
      <c r="K56" s="4">
        <v>11100000</v>
      </c>
      <c r="L56" s="4">
        <v>1100000</v>
      </c>
      <c r="M56" s="4">
        <v>300000.02702702704</v>
      </c>
    </row>
    <row r="57" spans="1:13" x14ac:dyDescent="0.35">
      <c r="A57" s="3" t="s">
        <v>727</v>
      </c>
      <c r="B57" s="2" t="s">
        <v>1455</v>
      </c>
      <c r="C57">
        <v>9291176</v>
      </c>
      <c r="D57" s="19">
        <v>1032353</v>
      </c>
      <c r="E57" s="18">
        <v>16.999999031339087</v>
      </c>
      <c r="F57" s="18">
        <v>7.9999990313390867</v>
      </c>
      <c r="G57" s="18">
        <v>9</v>
      </c>
      <c r="H57" s="1">
        <v>116.99999903133909</v>
      </c>
      <c r="I57" s="5">
        <v>15000000.124187298</v>
      </c>
      <c r="J57" s="17">
        <v>15000000</v>
      </c>
      <c r="K57" s="4">
        <v>17550000</v>
      </c>
      <c r="L57" s="4">
        <v>2550000</v>
      </c>
      <c r="M57" s="4">
        <v>1350000.0769230768</v>
      </c>
    </row>
    <row r="58" spans="1:13" x14ac:dyDescent="0.35">
      <c r="A58" s="3" t="s">
        <v>714</v>
      </c>
      <c r="B58" s="2" t="s">
        <v>1386</v>
      </c>
      <c r="C58">
        <v>3300000</v>
      </c>
      <c r="D58" s="19">
        <v>1100000</v>
      </c>
      <c r="E58" s="18">
        <v>10</v>
      </c>
      <c r="F58" s="18">
        <v>7</v>
      </c>
      <c r="G58" s="18">
        <v>3</v>
      </c>
      <c r="H58" s="1">
        <v>110</v>
      </c>
      <c r="I58" s="5">
        <v>10000000</v>
      </c>
      <c r="J58" s="17">
        <v>10000000</v>
      </c>
      <c r="K58" s="4">
        <v>11000000</v>
      </c>
      <c r="L58" s="4">
        <v>1000000</v>
      </c>
      <c r="M58" s="4">
        <v>300000</v>
      </c>
    </row>
    <row r="59" spans="1:13" ht="23" x14ac:dyDescent="0.35">
      <c r="A59" s="3" t="s">
        <v>246</v>
      </c>
      <c r="B59" s="2" t="s">
        <v>1380</v>
      </c>
      <c r="C59">
        <v>4000000</v>
      </c>
      <c r="D59" s="19">
        <v>1000000</v>
      </c>
      <c r="E59" s="18">
        <v>11</v>
      </c>
      <c r="F59" s="18">
        <v>7</v>
      </c>
      <c r="G59" s="18">
        <v>4</v>
      </c>
      <c r="H59" s="1">
        <v>111</v>
      </c>
      <c r="I59" s="5">
        <v>9909909.9099099096</v>
      </c>
      <c r="J59" s="17">
        <v>10000000</v>
      </c>
      <c r="K59" s="4">
        <v>11000000</v>
      </c>
      <c r="L59" s="4">
        <v>1000000</v>
      </c>
      <c r="M59" s="4">
        <v>363636.36363636365</v>
      </c>
    </row>
    <row r="60" spans="1:13" x14ac:dyDescent="0.35">
      <c r="A60" s="3" t="s">
        <v>183</v>
      </c>
      <c r="B60" s="2" t="s">
        <v>1392</v>
      </c>
      <c r="C60">
        <v>3733331</v>
      </c>
      <c r="D60" s="19">
        <v>746667</v>
      </c>
      <c r="E60" s="18">
        <v>11.999994642859534</v>
      </c>
      <c r="F60" s="18">
        <v>6.9999946428595337</v>
      </c>
      <c r="G60" s="18">
        <v>5</v>
      </c>
      <c r="H60" s="1">
        <v>111.99999464285953</v>
      </c>
      <c r="I60" s="5">
        <v>8000000.3826529095</v>
      </c>
      <c r="J60" s="17">
        <v>8000000</v>
      </c>
      <c r="K60" s="4">
        <v>8960000</v>
      </c>
      <c r="L60" s="4">
        <v>960000</v>
      </c>
      <c r="M60" s="4">
        <v>400000.17857142864</v>
      </c>
    </row>
    <row r="61" spans="1:13" ht="23" x14ac:dyDescent="0.35">
      <c r="A61" s="3" t="s">
        <v>436</v>
      </c>
      <c r="B61" s="2" t="s">
        <v>1460</v>
      </c>
      <c r="C61">
        <v>9787500</v>
      </c>
      <c r="D61" s="19">
        <v>1087500</v>
      </c>
      <c r="E61" s="18">
        <v>16</v>
      </c>
      <c r="F61" s="18">
        <v>7</v>
      </c>
      <c r="G61" s="18">
        <v>9</v>
      </c>
      <c r="H61" s="1">
        <v>116</v>
      </c>
      <c r="I61" s="5">
        <v>15000000</v>
      </c>
      <c r="J61" s="17">
        <v>15000000</v>
      </c>
      <c r="K61" s="4">
        <v>17400000</v>
      </c>
      <c r="L61" s="4">
        <v>2400000</v>
      </c>
      <c r="M61" s="4">
        <v>1350000</v>
      </c>
    </row>
    <row r="62" spans="1:13" x14ac:dyDescent="0.35">
      <c r="A62" s="3" t="s">
        <v>808</v>
      </c>
      <c r="B62" s="2" t="s">
        <v>1463</v>
      </c>
      <c r="C62">
        <v>17113045</v>
      </c>
      <c r="D62" s="19">
        <v>1069565</v>
      </c>
      <c r="E62" s="18">
        <v>23.000004674797697</v>
      </c>
      <c r="F62" s="18">
        <v>7.0000046747976974</v>
      </c>
      <c r="G62" s="18">
        <v>16</v>
      </c>
      <c r="H62" s="1">
        <v>123.00000467479769</v>
      </c>
      <c r="I62" s="5">
        <v>19999999.239870325</v>
      </c>
      <c r="J62" s="17">
        <v>20000000</v>
      </c>
      <c r="K62" s="4">
        <v>24600000</v>
      </c>
      <c r="L62" s="4">
        <v>4600000</v>
      </c>
      <c r="M62" s="4">
        <v>3199999.349593496</v>
      </c>
    </row>
    <row r="63" spans="1:13" x14ac:dyDescent="0.35">
      <c r="A63" s="3" t="s">
        <v>502</v>
      </c>
      <c r="B63" s="2" t="s">
        <v>1384</v>
      </c>
      <c r="C63">
        <v>10875000</v>
      </c>
      <c r="D63" s="19">
        <v>1087500</v>
      </c>
      <c r="E63" s="18">
        <v>16</v>
      </c>
      <c r="F63" s="18">
        <v>6</v>
      </c>
      <c r="G63" s="18">
        <v>10</v>
      </c>
      <c r="H63" s="1">
        <v>116</v>
      </c>
      <c r="I63" s="5">
        <v>15000000</v>
      </c>
      <c r="J63" s="17">
        <v>15000000</v>
      </c>
      <c r="K63" s="4">
        <v>17400000</v>
      </c>
      <c r="L63" s="4">
        <v>2400000</v>
      </c>
      <c r="M63" s="4">
        <v>1500000</v>
      </c>
    </row>
    <row r="64" spans="1:13" x14ac:dyDescent="0.35">
      <c r="A64" s="3" t="s">
        <v>179</v>
      </c>
      <c r="B64" s="2" t="s">
        <v>1385</v>
      </c>
      <c r="C64">
        <v>10875000</v>
      </c>
      <c r="D64" s="19">
        <v>1087500</v>
      </c>
      <c r="E64" s="18">
        <v>16</v>
      </c>
      <c r="F64" s="18">
        <v>6</v>
      </c>
      <c r="G64" s="18">
        <v>10</v>
      </c>
      <c r="H64" s="1">
        <v>116</v>
      </c>
      <c r="I64" s="5">
        <v>15000000</v>
      </c>
      <c r="J64" s="17">
        <v>15000000</v>
      </c>
      <c r="K64" s="4">
        <v>17400000</v>
      </c>
      <c r="L64" s="4">
        <v>2400000</v>
      </c>
      <c r="M64" s="4">
        <v>1500000</v>
      </c>
    </row>
    <row r="65" spans="1:13" x14ac:dyDescent="0.35">
      <c r="A65" s="3" t="s">
        <v>205</v>
      </c>
      <c r="B65" s="2" t="s">
        <v>1388</v>
      </c>
      <c r="C65">
        <v>20321740</v>
      </c>
      <c r="D65" s="19">
        <v>1069565</v>
      </c>
      <c r="E65" s="18">
        <v>23.000004674797697</v>
      </c>
      <c r="F65" s="18">
        <v>4.0000046747976974</v>
      </c>
      <c r="G65" s="18">
        <v>19</v>
      </c>
      <c r="H65" s="1">
        <v>123.00000467479769</v>
      </c>
      <c r="I65" s="5">
        <v>19999999.239870325</v>
      </c>
      <c r="J65" s="17">
        <v>20000000</v>
      </c>
      <c r="K65" s="4">
        <v>24600000</v>
      </c>
      <c r="L65" s="4">
        <v>4600000</v>
      </c>
      <c r="M65" s="4">
        <v>3799999.2276422763</v>
      </c>
    </row>
    <row r="66" spans="1:13" x14ac:dyDescent="0.35">
      <c r="A66" s="3" t="s">
        <v>499</v>
      </c>
      <c r="B66" s="2" t="s">
        <v>1389</v>
      </c>
      <c r="C66">
        <v>19963636</v>
      </c>
      <c r="D66" s="19">
        <v>1109091</v>
      </c>
      <c r="E66" s="18">
        <v>21.99999819672146</v>
      </c>
      <c r="F66" s="18">
        <v>3.9999981967214602</v>
      </c>
      <c r="G66" s="18">
        <v>18</v>
      </c>
      <c r="H66" s="1">
        <v>121.99999819672146</v>
      </c>
      <c r="I66" s="5">
        <v>20000000.295619436</v>
      </c>
      <c r="J66" s="17">
        <v>20000000</v>
      </c>
      <c r="K66" s="4">
        <v>24400000</v>
      </c>
      <c r="L66" s="4">
        <v>4400000</v>
      </c>
      <c r="M66" s="4">
        <v>3600000.295081967</v>
      </c>
    </row>
    <row r="67" spans="1:13" x14ac:dyDescent="0.35">
      <c r="A67" s="3" t="s">
        <v>312</v>
      </c>
      <c r="B67" s="2" t="s">
        <v>1390</v>
      </c>
      <c r="C67">
        <v>19963636</v>
      </c>
      <c r="D67" s="19">
        <v>1109091</v>
      </c>
      <c r="E67" s="18">
        <v>21.99999819672146</v>
      </c>
      <c r="F67" s="18">
        <v>3.9999981967214602</v>
      </c>
      <c r="G67" s="18">
        <v>18</v>
      </c>
      <c r="H67" s="1">
        <v>121.99999819672146</v>
      </c>
      <c r="I67" s="5">
        <v>20000000.295619436</v>
      </c>
      <c r="J67" s="17">
        <v>20000000</v>
      </c>
      <c r="K67" s="4">
        <v>24400000</v>
      </c>
      <c r="L67" s="4">
        <v>4400000</v>
      </c>
      <c r="M67" s="4">
        <v>3600000.295081967</v>
      </c>
    </row>
    <row r="68" spans="1:13" ht="23" x14ac:dyDescent="0.35">
      <c r="A68" s="3" t="s">
        <v>1253</v>
      </c>
      <c r="B68" s="2" t="s">
        <v>1465</v>
      </c>
      <c r="C68">
        <v>1050000</v>
      </c>
      <c r="D68" s="19">
        <v>1050000</v>
      </c>
      <c r="E68" s="18">
        <v>5</v>
      </c>
      <c r="F68" s="18">
        <v>4</v>
      </c>
      <c r="G68" s="18">
        <v>1</v>
      </c>
      <c r="H68" s="1">
        <v>105</v>
      </c>
      <c r="I68" s="5">
        <v>5000000</v>
      </c>
      <c r="J68" s="17">
        <v>5000000</v>
      </c>
      <c r="K68" s="4">
        <v>5250000</v>
      </c>
      <c r="L68" s="4">
        <v>250000</v>
      </c>
      <c r="M68" s="4">
        <v>50000</v>
      </c>
    </row>
    <row r="69" spans="1:13" x14ac:dyDescent="0.35">
      <c r="A69" s="3" t="s">
        <v>1107</v>
      </c>
      <c r="B69" s="2" t="s">
        <v>1434</v>
      </c>
      <c r="C69">
        <v>2064705</v>
      </c>
      <c r="D69" s="19">
        <v>1032353</v>
      </c>
      <c r="E69" s="18">
        <v>13.999999031339087</v>
      </c>
      <c r="F69" s="18">
        <v>11.999999031339087</v>
      </c>
      <c r="G69" s="18">
        <v>2</v>
      </c>
      <c r="H69" s="1">
        <v>113.99999903133909</v>
      </c>
      <c r="I69" s="5">
        <v>12678018.528778078</v>
      </c>
      <c r="J69" s="17">
        <v>13000000</v>
      </c>
      <c r="K69" s="4">
        <v>14452941</v>
      </c>
      <c r="L69" s="4">
        <v>1452941</v>
      </c>
      <c r="M69" s="4">
        <v>207563.0143612985</v>
      </c>
    </row>
    <row r="70" spans="1:13" x14ac:dyDescent="0.35">
      <c r="A70" s="3" t="s">
        <v>466</v>
      </c>
      <c r="B70" s="2" t="s">
        <v>1522</v>
      </c>
      <c r="C70">
        <v>9300005</v>
      </c>
      <c r="D70" s="19">
        <v>1033333</v>
      </c>
      <c r="E70" s="18">
        <v>21.000007741937981</v>
      </c>
      <c r="F70" s="18">
        <v>11.000007741937981</v>
      </c>
      <c r="G70" s="18">
        <v>10</v>
      </c>
      <c r="H70" s="1">
        <v>121.00000774193798</v>
      </c>
      <c r="I70" s="5">
        <v>17933883.976503987</v>
      </c>
      <c r="J70" s="17">
        <v>18000000</v>
      </c>
      <c r="K70" s="4">
        <v>21700001</v>
      </c>
      <c r="L70" s="4">
        <v>3700001</v>
      </c>
      <c r="M70" s="4">
        <v>1761904.5885449499</v>
      </c>
    </row>
    <row r="71" spans="1:13" x14ac:dyDescent="0.35">
      <c r="A71" s="3" t="s">
        <v>806</v>
      </c>
      <c r="B71" s="2" t="s">
        <v>1532</v>
      </c>
      <c r="C71">
        <v>12000000</v>
      </c>
      <c r="D71" s="19">
        <v>1000000</v>
      </c>
      <c r="E71" s="18">
        <v>24</v>
      </c>
      <c r="F71" s="18">
        <v>12</v>
      </c>
      <c r="G71" s="18">
        <v>12</v>
      </c>
      <c r="H71" s="1">
        <v>124</v>
      </c>
      <c r="I71" s="5">
        <v>19354838.709677417</v>
      </c>
      <c r="J71" s="17">
        <v>19000000</v>
      </c>
      <c r="K71" s="4">
        <v>24000000</v>
      </c>
      <c r="L71" s="4">
        <v>5000000</v>
      </c>
      <c r="M71" s="4">
        <v>2500000</v>
      </c>
    </row>
    <row r="72" spans="1:13" x14ac:dyDescent="0.35">
      <c r="A72" s="3" t="s">
        <v>703</v>
      </c>
      <c r="B72" s="2" t="s">
        <v>1432</v>
      </c>
      <c r="C72">
        <v>3262500</v>
      </c>
      <c r="D72" s="19">
        <v>1087500</v>
      </c>
      <c r="E72" s="18">
        <v>15</v>
      </c>
      <c r="F72" s="18">
        <v>12</v>
      </c>
      <c r="G72" s="18">
        <v>3</v>
      </c>
      <c r="H72" s="1">
        <v>115</v>
      </c>
      <c r="I72" s="5">
        <v>14184782.60869565</v>
      </c>
      <c r="J72" s="17">
        <v>14000000</v>
      </c>
      <c r="K72" s="4">
        <v>16312500</v>
      </c>
      <c r="L72" s="4">
        <v>2312500</v>
      </c>
      <c r="M72" s="4">
        <v>462500</v>
      </c>
    </row>
    <row r="73" spans="1:13" x14ac:dyDescent="0.35">
      <c r="A73" s="3" t="s">
        <v>1003</v>
      </c>
      <c r="B73" s="2" t="s">
        <v>1612</v>
      </c>
      <c r="C73">
        <v>8850003</v>
      </c>
      <c r="D73" s="19">
        <v>983333</v>
      </c>
      <c r="E73" s="18">
        <v>18.000006101696982</v>
      </c>
      <c r="F73" s="18">
        <v>9.0000061016969823</v>
      </c>
      <c r="G73" s="18">
        <v>9</v>
      </c>
      <c r="H73" s="1">
        <v>118.00000610169698</v>
      </c>
      <c r="I73" s="5">
        <v>14999999.224360593</v>
      </c>
      <c r="J73" s="17">
        <v>15000000</v>
      </c>
      <c r="K73" s="4">
        <v>17700000</v>
      </c>
      <c r="L73" s="4">
        <v>2700000</v>
      </c>
      <c r="M73" s="4">
        <v>1349999.5423728814</v>
      </c>
    </row>
    <row r="74" spans="1:13" x14ac:dyDescent="0.35">
      <c r="A74" s="3" t="s">
        <v>964</v>
      </c>
      <c r="B74" s="2" t="s">
        <v>1431</v>
      </c>
      <c r="C74">
        <v>2800003</v>
      </c>
      <c r="D74" s="19">
        <v>933333</v>
      </c>
      <c r="E74" s="18">
        <v>12.000004285715816</v>
      </c>
      <c r="F74" s="18">
        <v>9.000004285715816</v>
      </c>
      <c r="G74" s="18">
        <v>3</v>
      </c>
      <c r="H74" s="1">
        <v>112.00000428571582</v>
      </c>
      <c r="I74" s="5">
        <v>9999999.6173468176</v>
      </c>
      <c r="J74" s="17">
        <v>10000000</v>
      </c>
      <c r="K74" s="4">
        <v>11200000</v>
      </c>
      <c r="L74" s="4">
        <v>1200000</v>
      </c>
      <c r="M74" s="4">
        <v>299999.89285714284</v>
      </c>
    </row>
    <row r="75" spans="1:13" ht="23" x14ac:dyDescent="0.35">
      <c r="A75" s="3" t="s">
        <v>305</v>
      </c>
      <c r="B75" s="2" t="s">
        <v>1527</v>
      </c>
      <c r="C75">
        <v>10075000</v>
      </c>
      <c r="D75" s="19">
        <v>775000</v>
      </c>
      <c r="E75" s="18">
        <v>24</v>
      </c>
      <c r="F75" s="18">
        <v>11</v>
      </c>
      <c r="G75" s="18">
        <v>13</v>
      </c>
      <c r="H75" s="1">
        <v>124</v>
      </c>
      <c r="I75" s="5">
        <v>15000000</v>
      </c>
      <c r="J75" s="17">
        <v>15000000</v>
      </c>
      <c r="K75" s="4">
        <v>18600000</v>
      </c>
      <c r="L75" s="4">
        <v>3600000</v>
      </c>
      <c r="M75" s="4">
        <v>1950000</v>
      </c>
    </row>
    <row r="76" spans="1:13" x14ac:dyDescent="0.35">
      <c r="A76" s="3" t="s">
        <v>200</v>
      </c>
      <c r="B76" s="2" t="s">
        <v>1426</v>
      </c>
      <c r="C76">
        <v>933337</v>
      </c>
      <c r="D76" s="19">
        <v>933333</v>
      </c>
      <c r="E76" s="18">
        <v>12.000004285715816</v>
      </c>
      <c r="F76" s="18">
        <v>11.000004285715816</v>
      </c>
      <c r="G76" s="18">
        <v>1</v>
      </c>
      <c r="H76" s="1">
        <v>112.00000428571582</v>
      </c>
      <c r="I76" s="5">
        <v>9999999.6173468176</v>
      </c>
      <c r="J76" s="17">
        <v>10000000</v>
      </c>
      <c r="K76" s="4">
        <v>11200000</v>
      </c>
      <c r="L76" s="4">
        <v>1200000</v>
      </c>
      <c r="M76" s="4">
        <v>99999.96428571429</v>
      </c>
    </row>
    <row r="77" spans="1:13" ht="23" x14ac:dyDescent="0.35">
      <c r="A77" s="3" t="s">
        <v>334</v>
      </c>
      <c r="B77" s="2" t="s">
        <v>1526</v>
      </c>
      <c r="C77">
        <v>2086153</v>
      </c>
      <c r="D77" s="19">
        <v>1043077</v>
      </c>
      <c r="E77" s="18">
        <v>12.999999041298006</v>
      </c>
      <c r="F77" s="18">
        <v>10.999999041298006</v>
      </c>
      <c r="G77" s="18">
        <v>2</v>
      </c>
      <c r="H77" s="1">
        <v>112.99999904129801</v>
      </c>
      <c r="I77" s="5">
        <v>12000000.10180906</v>
      </c>
      <c r="J77" s="17">
        <v>12000000</v>
      </c>
      <c r="K77" s="4">
        <v>13560000</v>
      </c>
      <c r="L77" s="4">
        <v>1560000</v>
      </c>
      <c r="M77" s="4">
        <v>240000.01769911504</v>
      </c>
    </row>
    <row r="78" spans="1:13" x14ac:dyDescent="0.35">
      <c r="A78" s="3" t="s">
        <v>614</v>
      </c>
      <c r="B78" s="2" t="s">
        <v>1425</v>
      </c>
      <c r="C78">
        <v>5965558</v>
      </c>
      <c r="D78" s="19">
        <v>852222</v>
      </c>
      <c r="E78" s="18">
        <v>18.000004693612699</v>
      </c>
      <c r="F78" s="18">
        <v>11.000004693612699</v>
      </c>
      <c r="G78" s="18">
        <v>7</v>
      </c>
      <c r="H78" s="1">
        <v>118.00000469361269</v>
      </c>
      <c r="I78" s="5">
        <v>12999999.482907098</v>
      </c>
      <c r="J78" s="17">
        <v>13000000</v>
      </c>
      <c r="K78" s="4">
        <v>15340000.000000002</v>
      </c>
      <c r="L78" s="4">
        <v>2340000.0000000019</v>
      </c>
      <c r="M78" s="4">
        <v>909999.76271186513</v>
      </c>
    </row>
    <row r="79" spans="1:13" x14ac:dyDescent="0.35">
      <c r="A79" s="3" t="s">
        <v>353</v>
      </c>
      <c r="B79" s="2" t="s">
        <v>1433</v>
      </c>
      <c r="C79">
        <v>1866670</v>
      </c>
      <c r="D79" s="19">
        <v>933333</v>
      </c>
      <c r="E79" s="18">
        <v>12.000004285715816</v>
      </c>
      <c r="F79" s="18">
        <v>10.000004285715816</v>
      </c>
      <c r="G79" s="18">
        <v>2</v>
      </c>
      <c r="H79" s="1">
        <v>112.00000428571582</v>
      </c>
      <c r="I79" s="5">
        <v>9999999.6173468176</v>
      </c>
      <c r="J79" s="17">
        <v>10000000</v>
      </c>
      <c r="K79" s="4">
        <v>11200000</v>
      </c>
      <c r="L79" s="4">
        <v>1200000</v>
      </c>
      <c r="M79" s="4">
        <v>199999.92857142858</v>
      </c>
    </row>
    <row r="80" spans="1:13" x14ac:dyDescent="0.35">
      <c r="A80" s="3" t="s">
        <v>215</v>
      </c>
      <c r="B80" s="2" t="s">
        <v>1437</v>
      </c>
      <c r="C80">
        <v>1100000</v>
      </c>
      <c r="D80" s="19">
        <v>1100000</v>
      </c>
      <c r="E80" s="18">
        <v>10</v>
      </c>
      <c r="F80" s="18">
        <v>9</v>
      </c>
      <c r="G80" s="18">
        <v>1</v>
      </c>
      <c r="H80" s="1">
        <v>110</v>
      </c>
      <c r="I80" s="5">
        <v>10000000</v>
      </c>
      <c r="J80" s="17">
        <v>10000000</v>
      </c>
      <c r="K80" s="4">
        <v>11000000</v>
      </c>
      <c r="L80" s="4">
        <v>1000000</v>
      </c>
      <c r="M80" s="4">
        <v>100000</v>
      </c>
    </row>
    <row r="81" spans="1:13" x14ac:dyDescent="0.35">
      <c r="A81" s="3" t="s">
        <v>760</v>
      </c>
      <c r="B81" s="2" t="s">
        <v>1520</v>
      </c>
      <c r="C81">
        <v>1100000</v>
      </c>
      <c r="D81" s="19">
        <v>1100000</v>
      </c>
      <c r="E81" s="18">
        <v>10</v>
      </c>
      <c r="F81" s="18">
        <v>9</v>
      </c>
      <c r="G81" s="18">
        <v>1</v>
      </c>
      <c r="H81" s="1">
        <v>110</v>
      </c>
      <c r="I81" s="5">
        <v>10000000</v>
      </c>
      <c r="J81" s="17">
        <v>10000000</v>
      </c>
      <c r="K81" s="4">
        <v>11000000</v>
      </c>
      <c r="L81" s="4">
        <v>1000000</v>
      </c>
      <c r="M81" s="4">
        <v>100000</v>
      </c>
    </row>
    <row r="82" spans="1:13" x14ac:dyDescent="0.35">
      <c r="A82" s="3" t="s">
        <v>302</v>
      </c>
      <c r="B82" s="2" t="s">
        <v>1528</v>
      </c>
      <c r="C82">
        <v>880000</v>
      </c>
      <c r="D82" s="19">
        <v>440000</v>
      </c>
      <c r="E82" s="18">
        <v>10</v>
      </c>
      <c r="F82" s="18">
        <v>8</v>
      </c>
      <c r="G82" s="18">
        <v>2</v>
      </c>
      <c r="H82" s="1">
        <v>110</v>
      </c>
      <c r="I82" s="5">
        <v>4000000</v>
      </c>
      <c r="J82" s="17">
        <v>4000000</v>
      </c>
      <c r="K82" s="4">
        <v>4400000</v>
      </c>
      <c r="L82" s="4">
        <v>400000</v>
      </c>
      <c r="M82" s="4">
        <v>80000</v>
      </c>
    </row>
    <row r="83" spans="1:13" x14ac:dyDescent="0.35">
      <c r="A83" s="3" t="s">
        <v>673</v>
      </c>
      <c r="B83" s="2" t="s">
        <v>1438</v>
      </c>
      <c r="C83">
        <v>2102846</v>
      </c>
      <c r="D83" s="19">
        <v>1051429</v>
      </c>
      <c r="E83" s="18">
        <v>13.999988586961173</v>
      </c>
      <c r="F83" s="18">
        <v>11.999988586961173</v>
      </c>
      <c r="G83" s="18">
        <v>2</v>
      </c>
      <c r="H83" s="1">
        <v>113.99998858696117</v>
      </c>
      <c r="I83" s="5">
        <v>12912276.731301015</v>
      </c>
      <c r="J83" s="17">
        <v>13000000</v>
      </c>
      <c r="K83" s="4">
        <v>14719994</v>
      </c>
      <c r="L83" s="4">
        <v>1719994</v>
      </c>
      <c r="M83" s="4">
        <v>245713.62888137047</v>
      </c>
    </row>
    <row r="84" spans="1:13" ht="23" x14ac:dyDescent="0.35">
      <c r="A84" s="3" t="s">
        <v>654</v>
      </c>
      <c r="B84" s="2" t="s">
        <v>1411</v>
      </c>
      <c r="C84">
        <v>10695655</v>
      </c>
      <c r="D84" s="19">
        <v>1069565</v>
      </c>
      <c r="E84" s="18">
        <v>22.000004674797697</v>
      </c>
      <c r="F84" s="18">
        <v>11.000004674797697</v>
      </c>
      <c r="G84" s="18">
        <v>11</v>
      </c>
      <c r="H84" s="1">
        <v>122.00000467479769</v>
      </c>
      <c r="I84" s="5">
        <v>19287241.064229921</v>
      </c>
      <c r="J84" s="17">
        <v>19000000</v>
      </c>
      <c r="K84" s="4">
        <v>23530435</v>
      </c>
      <c r="L84" s="4">
        <v>4530435</v>
      </c>
      <c r="M84" s="4">
        <v>2265217.0186622133</v>
      </c>
    </row>
    <row r="85" spans="1:13" x14ac:dyDescent="0.35">
      <c r="A85" s="3" t="s">
        <v>1101</v>
      </c>
      <c r="B85" s="2" t="s">
        <v>1413</v>
      </c>
      <c r="C85">
        <v>933337</v>
      </c>
      <c r="D85" s="19">
        <v>933333</v>
      </c>
      <c r="E85" s="18">
        <v>12.000004285715816</v>
      </c>
      <c r="F85" s="18">
        <v>11.000004285715816</v>
      </c>
      <c r="G85" s="18">
        <v>1</v>
      </c>
      <c r="H85" s="1">
        <v>112.00000428571582</v>
      </c>
      <c r="I85" s="5">
        <v>9999999.6173468176</v>
      </c>
      <c r="J85" s="17">
        <v>10000000</v>
      </c>
      <c r="K85" s="4">
        <v>11200000</v>
      </c>
      <c r="L85" s="4">
        <v>1200000</v>
      </c>
      <c r="M85" s="4">
        <v>99999.96428571429</v>
      </c>
    </row>
    <row r="86" spans="1:13" x14ac:dyDescent="0.35">
      <c r="A86" s="3" t="s">
        <v>197</v>
      </c>
      <c r="B86" s="2" t="s">
        <v>1410</v>
      </c>
      <c r="C86">
        <v>21666670</v>
      </c>
      <c r="D86" s="19">
        <v>1083333</v>
      </c>
      <c r="E86" s="18">
        <v>30.000009230772072</v>
      </c>
      <c r="F86" s="18">
        <v>10.000009230772072</v>
      </c>
      <c r="G86" s="18">
        <v>20</v>
      </c>
      <c r="H86" s="1">
        <v>130.00000923077206</v>
      </c>
      <c r="I86" s="5">
        <v>24999998.224851653</v>
      </c>
      <c r="J86" s="17">
        <v>25000000</v>
      </c>
      <c r="K86" s="4">
        <v>32500000</v>
      </c>
      <c r="L86" s="4">
        <v>7500000</v>
      </c>
      <c r="M86" s="4">
        <v>4999998.461538461</v>
      </c>
    </row>
    <row r="87" spans="1:13" ht="23" x14ac:dyDescent="0.35">
      <c r="A87" s="3" t="s">
        <v>776</v>
      </c>
      <c r="B87" s="2" t="s">
        <v>1422</v>
      </c>
      <c r="C87">
        <v>13904350</v>
      </c>
      <c r="D87" s="19">
        <v>1069565</v>
      </c>
      <c r="E87" s="18">
        <v>23.000004674797697</v>
      </c>
      <c r="F87" s="18">
        <v>10.000004674797697</v>
      </c>
      <c r="G87" s="18">
        <v>13</v>
      </c>
      <c r="H87" s="1">
        <v>123.00000467479769</v>
      </c>
      <c r="I87" s="5">
        <v>19999999.239870325</v>
      </c>
      <c r="J87" s="17">
        <v>20000000</v>
      </c>
      <c r="K87" s="4">
        <v>24600000</v>
      </c>
      <c r="L87" s="4">
        <v>4600000</v>
      </c>
      <c r="M87" s="4">
        <v>2599999.4715447156</v>
      </c>
    </row>
    <row r="88" spans="1:13" x14ac:dyDescent="0.35">
      <c r="A88" s="3" t="s">
        <v>740</v>
      </c>
      <c r="B88" s="2" t="s">
        <v>1497</v>
      </c>
      <c r="C88">
        <v>4000000</v>
      </c>
      <c r="D88" s="19">
        <v>1000000</v>
      </c>
      <c r="E88" s="18">
        <v>16</v>
      </c>
      <c r="F88" s="18">
        <v>12</v>
      </c>
      <c r="G88" s="18">
        <v>4</v>
      </c>
      <c r="H88" s="1">
        <v>116</v>
      </c>
      <c r="I88" s="5">
        <v>13793103.44827586</v>
      </c>
      <c r="J88" s="17">
        <v>14000000</v>
      </c>
      <c r="K88" s="4">
        <v>16000000</v>
      </c>
      <c r="L88" s="4">
        <v>2000000</v>
      </c>
      <c r="M88" s="4">
        <v>500000</v>
      </c>
    </row>
    <row r="89" spans="1:13" ht="23" x14ac:dyDescent="0.35">
      <c r="A89" s="3" t="s">
        <v>322</v>
      </c>
      <c r="B89" s="2" t="s">
        <v>1418</v>
      </c>
      <c r="C89">
        <v>3100007</v>
      </c>
      <c r="D89" s="19">
        <v>1033333</v>
      </c>
      <c r="E89" s="18">
        <v>15.000007741937981</v>
      </c>
      <c r="F89" s="18">
        <v>11.000007741937981</v>
      </c>
      <c r="G89" s="18">
        <v>4</v>
      </c>
      <c r="H89" s="1">
        <v>115.00000774193798</v>
      </c>
      <c r="I89" s="5">
        <v>13478262.570888063</v>
      </c>
      <c r="J89" s="17">
        <v>13000000</v>
      </c>
      <c r="K89" s="4">
        <v>15500003</v>
      </c>
      <c r="L89" s="4">
        <v>2500003</v>
      </c>
      <c r="M89" s="4">
        <v>666667.1225802988</v>
      </c>
    </row>
    <row r="90" spans="1:13" x14ac:dyDescent="0.35">
      <c r="A90" s="3" t="s">
        <v>1118</v>
      </c>
      <c r="B90" s="2" t="s">
        <v>1423</v>
      </c>
      <c r="C90">
        <v>3208700</v>
      </c>
      <c r="D90" s="19">
        <v>1069565</v>
      </c>
      <c r="E90" s="18">
        <v>15.000004674797697</v>
      </c>
      <c r="F90" s="18">
        <v>11.000004674797697</v>
      </c>
      <c r="G90" s="18">
        <v>4</v>
      </c>
      <c r="H90" s="1">
        <v>115.00000467479769</v>
      </c>
      <c r="I90" s="5">
        <v>13950851.60680514</v>
      </c>
      <c r="J90" s="17">
        <v>14000000</v>
      </c>
      <c r="K90" s="4">
        <v>16043480</v>
      </c>
      <c r="L90" s="4">
        <v>2043480</v>
      </c>
      <c r="M90" s="4">
        <v>544927.83017150895</v>
      </c>
    </row>
    <row r="91" spans="1:13" ht="23" x14ac:dyDescent="0.35">
      <c r="A91" s="3" t="s">
        <v>306</v>
      </c>
      <c r="B91" s="2" t="s">
        <v>1496</v>
      </c>
      <c r="C91">
        <v>3208700</v>
      </c>
      <c r="D91" s="19">
        <v>1069565</v>
      </c>
      <c r="E91" s="18">
        <v>15.000004674797697</v>
      </c>
      <c r="F91" s="18">
        <v>11.000004674797697</v>
      </c>
      <c r="G91" s="18">
        <v>4</v>
      </c>
      <c r="H91" s="1">
        <v>115.00000467479769</v>
      </c>
      <c r="I91" s="5">
        <v>13950851.60680514</v>
      </c>
      <c r="J91" s="17">
        <v>14000000</v>
      </c>
      <c r="K91" s="4">
        <v>16043480</v>
      </c>
      <c r="L91" s="4">
        <v>2043480</v>
      </c>
      <c r="M91" s="4">
        <v>544927.83017150895</v>
      </c>
    </row>
    <row r="92" spans="1:13" x14ac:dyDescent="0.35">
      <c r="A92" s="3" t="s">
        <v>704</v>
      </c>
      <c r="B92" s="2" t="s">
        <v>1417</v>
      </c>
      <c r="C92">
        <v>6417395</v>
      </c>
      <c r="D92" s="19">
        <v>1069565</v>
      </c>
      <c r="E92" s="18">
        <v>18.000004674797697</v>
      </c>
      <c r="F92" s="18">
        <v>11.000004674797697</v>
      </c>
      <c r="G92" s="18">
        <v>7</v>
      </c>
      <c r="H92" s="1">
        <v>118.00000467479769</v>
      </c>
      <c r="I92" s="5">
        <v>16315401.896006754</v>
      </c>
      <c r="J92" s="17">
        <v>16000000</v>
      </c>
      <c r="K92" s="4">
        <v>19252175</v>
      </c>
      <c r="L92" s="4">
        <v>3252175</v>
      </c>
      <c r="M92" s="4">
        <v>1264734.3937568092</v>
      </c>
    </row>
    <row r="93" spans="1:13" x14ac:dyDescent="0.35">
      <c r="A93" s="3" t="s">
        <v>186</v>
      </c>
      <c r="B93" s="2" t="s">
        <v>1416</v>
      </c>
      <c r="C93">
        <v>11765220</v>
      </c>
      <c r="D93" s="19">
        <v>1069565</v>
      </c>
      <c r="E93" s="18">
        <v>23.000004674797697</v>
      </c>
      <c r="F93" s="18">
        <v>12.000004674797697</v>
      </c>
      <c r="G93" s="18">
        <v>11</v>
      </c>
      <c r="H93" s="1">
        <v>123.00000467479769</v>
      </c>
      <c r="I93" s="5">
        <v>19999999.239870325</v>
      </c>
      <c r="J93" s="17">
        <v>20000000</v>
      </c>
      <c r="K93" s="4">
        <v>24600000</v>
      </c>
      <c r="L93" s="4">
        <v>4600000</v>
      </c>
      <c r="M93" s="4">
        <v>2199999.5528455283</v>
      </c>
    </row>
    <row r="94" spans="1:13" x14ac:dyDescent="0.35">
      <c r="A94" s="3" t="s">
        <v>341</v>
      </c>
      <c r="B94" s="2" t="s">
        <v>1424</v>
      </c>
      <c r="C94">
        <v>11765220</v>
      </c>
      <c r="D94" s="19">
        <v>1069565</v>
      </c>
      <c r="E94" s="18">
        <v>23.000004674797697</v>
      </c>
      <c r="F94" s="18">
        <v>12.000004674797697</v>
      </c>
      <c r="G94" s="18">
        <v>11</v>
      </c>
      <c r="H94" s="1">
        <v>123.00000467479769</v>
      </c>
      <c r="I94" s="5">
        <v>19999999.239870325</v>
      </c>
      <c r="J94" s="17">
        <v>20000000</v>
      </c>
      <c r="K94" s="4">
        <v>24600000</v>
      </c>
      <c r="L94" s="4">
        <v>4600000</v>
      </c>
      <c r="M94" s="4">
        <v>2199999.5528455283</v>
      </c>
    </row>
    <row r="95" spans="1:13" x14ac:dyDescent="0.35">
      <c r="A95" s="3" t="s">
        <v>847</v>
      </c>
      <c r="B95" s="2" t="s">
        <v>1501</v>
      </c>
      <c r="C95">
        <v>19633335</v>
      </c>
      <c r="D95" s="19">
        <v>1033333</v>
      </c>
      <c r="E95" s="18">
        <v>24.000007741937981</v>
      </c>
      <c r="F95" s="18">
        <v>5.0000077419379814</v>
      </c>
      <c r="G95" s="18">
        <v>19</v>
      </c>
      <c r="H95" s="1">
        <v>124.00000774193798</v>
      </c>
      <c r="I95" s="5">
        <v>19999998.751300406</v>
      </c>
      <c r="J95" s="17">
        <v>20000000</v>
      </c>
      <c r="K95" s="4">
        <v>24800000</v>
      </c>
      <c r="L95" s="4">
        <v>4800000</v>
      </c>
      <c r="M95" s="4">
        <v>3799998.7741935486</v>
      </c>
    </row>
    <row r="96" spans="1:13" x14ac:dyDescent="0.35">
      <c r="A96" s="3" t="s">
        <v>455</v>
      </c>
      <c r="B96" s="2" t="s">
        <v>1495</v>
      </c>
      <c r="C96">
        <v>5500000</v>
      </c>
      <c r="D96" s="19">
        <v>1100000</v>
      </c>
      <c r="E96" s="18">
        <v>10</v>
      </c>
      <c r="F96" s="18">
        <v>5</v>
      </c>
      <c r="G96" s="18">
        <v>5</v>
      </c>
      <c r="H96" s="1">
        <v>110</v>
      </c>
      <c r="I96" s="5">
        <v>10000000</v>
      </c>
      <c r="J96" s="17">
        <v>10000000</v>
      </c>
      <c r="K96" s="4">
        <v>11000000</v>
      </c>
      <c r="L96" s="4">
        <v>1000000</v>
      </c>
      <c r="M96" s="4">
        <v>500000</v>
      </c>
    </row>
    <row r="97" spans="1:13" x14ac:dyDescent="0.35">
      <c r="A97" s="3" t="s">
        <v>932</v>
      </c>
      <c r="B97" s="2" t="s">
        <v>1503</v>
      </c>
      <c r="C97">
        <v>12388235</v>
      </c>
      <c r="D97" s="19">
        <v>1032353</v>
      </c>
      <c r="E97" s="18">
        <v>16.999999031339087</v>
      </c>
      <c r="F97" s="18">
        <v>4.9999990313390867</v>
      </c>
      <c r="G97" s="18">
        <v>12</v>
      </c>
      <c r="H97" s="1">
        <v>116.99999903133909</v>
      </c>
      <c r="I97" s="5">
        <v>15000000.124187298</v>
      </c>
      <c r="J97" s="17">
        <v>15000000</v>
      </c>
      <c r="K97" s="4">
        <v>17550000</v>
      </c>
      <c r="L97" s="4">
        <v>2550000</v>
      </c>
      <c r="M97" s="4">
        <v>1800000.1025641025</v>
      </c>
    </row>
    <row r="98" spans="1:13" x14ac:dyDescent="0.35">
      <c r="A98" s="3" t="s">
        <v>609</v>
      </c>
      <c r="B98" s="2" t="s">
        <v>1415</v>
      </c>
      <c r="C98">
        <v>19252175</v>
      </c>
      <c r="D98" s="19">
        <v>1069565</v>
      </c>
      <c r="E98" s="18">
        <v>23.000004674797697</v>
      </c>
      <c r="F98" s="18">
        <v>5.0000046747976974</v>
      </c>
      <c r="G98" s="18">
        <v>18</v>
      </c>
      <c r="H98" s="1">
        <v>123.00000467479769</v>
      </c>
      <c r="I98" s="5">
        <v>19999999.239870325</v>
      </c>
      <c r="J98" s="17">
        <v>20000000</v>
      </c>
      <c r="K98" s="4">
        <v>24600000</v>
      </c>
      <c r="L98" s="4">
        <v>4600000</v>
      </c>
      <c r="M98" s="4">
        <v>3599999.2682926832</v>
      </c>
    </row>
    <row r="99" spans="1:13" x14ac:dyDescent="0.35">
      <c r="A99" s="3" t="s">
        <v>1148</v>
      </c>
      <c r="B99" s="2" t="s">
        <v>1645</v>
      </c>
      <c r="C99">
        <v>1020000</v>
      </c>
      <c r="D99" s="19">
        <v>1020000</v>
      </c>
      <c r="E99" s="18">
        <v>2</v>
      </c>
      <c r="F99" s="18">
        <v>1</v>
      </c>
      <c r="G99" s="18">
        <v>1</v>
      </c>
      <c r="H99" s="1">
        <v>102</v>
      </c>
      <c r="I99" s="5">
        <v>2000000</v>
      </c>
      <c r="J99" s="17">
        <v>2000000</v>
      </c>
      <c r="K99" s="4">
        <v>2040000</v>
      </c>
      <c r="L99" s="4">
        <v>40000</v>
      </c>
      <c r="M99" s="4">
        <v>20000</v>
      </c>
    </row>
    <row r="100" spans="1:13" x14ac:dyDescent="0.35">
      <c r="A100" s="3" t="s">
        <v>46</v>
      </c>
      <c r="B100" s="2" t="s">
        <v>1396</v>
      </c>
      <c r="C100">
        <v>2064705</v>
      </c>
      <c r="D100" s="19">
        <v>1032353</v>
      </c>
      <c r="E100" s="18">
        <v>13.999999031339087</v>
      </c>
      <c r="F100" s="18">
        <v>11.999999031339087</v>
      </c>
      <c r="G100" s="18">
        <v>2</v>
      </c>
      <c r="H100" s="1">
        <v>113.99999903133909</v>
      </c>
      <c r="I100" s="5">
        <v>12678018.528778078</v>
      </c>
      <c r="J100" s="17">
        <v>13000000</v>
      </c>
      <c r="K100" s="4">
        <v>14452941</v>
      </c>
      <c r="L100" s="4">
        <v>1452941</v>
      </c>
      <c r="M100" s="4">
        <v>207563.0143612985</v>
      </c>
    </row>
    <row r="101" spans="1:13" x14ac:dyDescent="0.35">
      <c r="A101" s="3" t="s">
        <v>33</v>
      </c>
      <c r="B101" s="2" t="s">
        <v>1470</v>
      </c>
      <c r="C101">
        <v>2064705</v>
      </c>
      <c r="D101" s="19">
        <v>1032353</v>
      </c>
      <c r="E101" s="18">
        <v>13.999999031339087</v>
      </c>
      <c r="F101" s="18">
        <v>11.999999031339087</v>
      </c>
      <c r="G101" s="18">
        <v>2</v>
      </c>
      <c r="H101" s="1">
        <v>113.99999903133909</v>
      </c>
      <c r="I101" s="5">
        <v>12678018.528778078</v>
      </c>
      <c r="J101" s="17">
        <v>13000000</v>
      </c>
      <c r="K101" s="4">
        <v>14452941</v>
      </c>
      <c r="L101" s="4">
        <v>1452941</v>
      </c>
      <c r="M101" s="4">
        <v>207563.0143612985</v>
      </c>
    </row>
    <row r="102" spans="1:13" x14ac:dyDescent="0.35">
      <c r="A102" s="3" t="s">
        <v>247</v>
      </c>
      <c r="B102" s="2" t="s">
        <v>1401</v>
      </c>
      <c r="C102">
        <v>10000000</v>
      </c>
      <c r="D102" s="19">
        <v>1000000</v>
      </c>
      <c r="E102" s="18">
        <v>22</v>
      </c>
      <c r="F102" s="18">
        <v>12</v>
      </c>
      <c r="G102" s="18">
        <v>10</v>
      </c>
      <c r="H102" s="1">
        <v>122</v>
      </c>
      <c r="I102" s="5">
        <v>18032786.885245901</v>
      </c>
      <c r="J102" s="17">
        <v>18000000</v>
      </c>
      <c r="K102" s="4">
        <v>22000000</v>
      </c>
      <c r="L102" s="4">
        <v>4000000</v>
      </c>
      <c r="M102" s="4">
        <v>1818181.8181818184</v>
      </c>
    </row>
    <row r="103" spans="1:13" x14ac:dyDescent="0.35">
      <c r="A103" s="3" t="s">
        <v>578</v>
      </c>
      <c r="B103" s="2" t="s">
        <v>1404</v>
      </c>
      <c r="C103">
        <v>977141</v>
      </c>
      <c r="D103" s="19">
        <v>977143</v>
      </c>
      <c r="E103" s="18">
        <v>12.999997953216674</v>
      </c>
      <c r="F103" s="18">
        <v>11.999997953216674</v>
      </c>
      <c r="G103" s="18">
        <v>1</v>
      </c>
      <c r="H103" s="1">
        <v>112.99999795321668</v>
      </c>
      <c r="I103" s="5">
        <v>11241466.575299526</v>
      </c>
      <c r="J103" s="17">
        <v>11000000</v>
      </c>
      <c r="K103" s="4">
        <v>12702857</v>
      </c>
      <c r="L103" s="4">
        <v>1702857</v>
      </c>
      <c r="M103" s="4">
        <v>130989.02062354948</v>
      </c>
    </row>
    <row r="104" spans="1:13" x14ac:dyDescent="0.35">
      <c r="A104" s="3" t="s">
        <v>529</v>
      </c>
      <c r="B104" s="2" t="s">
        <v>1400</v>
      </c>
      <c r="C104">
        <v>10695655</v>
      </c>
      <c r="D104" s="19">
        <v>1069565</v>
      </c>
      <c r="E104" s="18">
        <v>22.000004674797697</v>
      </c>
      <c r="F104" s="18">
        <v>11.000004674797697</v>
      </c>
      <c r="G104" s="18">
        <v>11</v>
      </c>
      <c r="H104" s="1">
        <v>122.00000467479769</v>
      </c>
      <c r="I104" s="5">
        <v>19287241.064229921</v>
      </c>
      <c r="J104" s="17">
        <v>19000000</v>
      </c>
      <c r="K104" s="4">
        <v>23530435</v>
      </c>
      <c r="L104" s="4">
        <v>4530435</v>
      </c>
      <c r="M104" s="4">
        <v>2265217.0186622133</v>
      </c>
    </row>
    <row r="105" spans="1:13" x14ac:dyDescent="0.35">
      <c r="A105" s="3" t="s">
        <v>1115</v>
      </c>
      <c r="B105" s="2" t="s">
        <v>1408</v>
      </c>
      <c r="C105">
        <v>14973915</v>
      </c>
      <c r="D105" s="19">
        <v>1069565</v>
      </c>
      <c r="E105" s="18">
        <v>23.000004674797697</v>
      </c>
      <c r="F105" s="18">
        <v>9.0000046747976974</v>
      </c>
      <c r="G105" s="18">
        <v>14</v>
      </c>
      <c r="H105" s="1">
        <v>123.00000467479769</v>
      </c>
      <c r="I105" s="5">
        <v>19999999.239870325</v>
      </c>
      <c r="J105" s="17">
        <v>20000000</v>
      </c>
      <c r="K105" s="4">
        <v>24600000</v>
      </c>
      <c r="L105" s="4">
        <v>4600000</v>
      </c>
      <c r="M105" s="4">
        <v>2799999.4308943087</v>
      </c>
    </row>
    <row r="106" spans="1:13" x14ac:dyDescent="0.35">
      <c r="A106" s="3" t="s">
        <v>749</v>
      </c>
      <c r="B106" s="2" t="s">
        <v>1473</v>
      </c>
      <c r="C106">
        <v>1009090</v>
      </c>
      <c r="D106" s="19">
        <v>1009091</v>
      </c>
      <c r="E106" s="18">
        <v>10.999999009009098</v>
      </c>
      <c r="F106" s="18">
        <v>9.9999990090090982</v>
      </c>
      <c r="G106" s="18">
        <v>1</v>
      </c>
      <c r="H106" s="1">
        <v>110.9999990090091</v>
      </c>
      <c r="I106" s="5">
        <v>10000000.089278461</v>
      </c>
      <c r="J106" s="17">
        <v>10000000</v>
      </c>
      <c r="K106" s="4">
        <v>11100000</v>
      </c>
      <c r="L106" s="4">
        <v>1100000</v>
      </c>
      <c r="M106" s="4">
        <v>100000.00900900901</v>
      </c>
    </row>
    <row r="107" spans="1:13" x14ac:dyDescent="0.35">
      <c r="A107" s="3" t="s">
        <v>1024</v>
      </c>
      <c r="B107" s="2" t="s">
        <v>1475</v>
      </c>
      <c r="C107">
        <v>1009090</v>
      </c>
      <c r="D107" s="19">
        <v>1009091</v>
      </c>
      <c r="E107" s="18">
        <v>10.999999009009098</v>
      </c>
      <c r="F107" s="18">
        <v>9.9999990090090982</v>
      </c>
      <c r="G107" s="18">
        <v>1</v>
      </c>
      <c r="H107" s="1">
        <v>110.9999990090091</v>
      </c>
      <c r="I107" s="5">
        <v>10000000.089278461</v>
      </c>
      <c r="J107" s="17">
        <v>10000000</v>
      </c>
      <c r="K107" s="4">
        <v>11100000</v>
      </c>
      <c r="L107" s="4">
        <v>1100000</v>
      </c>
      <c r="M107" s="4">
        <v>100000.00900900901</v>
      </c>
    </row>
    <row r="108" spans="1:13" x14ac:dyDescent="0.35">
      <c r="A108" s="3" t="s">
        <v>893</v>
      </c>
      <c r="B108" s="2" t="s">
        <v>1476</v>
      </c>
      <c r="C108">
        <v>1866670</v>
      </c>
      <c r="D108" s="19">
        <v>933333</v>
      </c>
      <c r="E108" s="18">
        <v>12.000004285715816</v>
      </c>
      <c r="F108" s="18">
        <v>10.000004285715816</v>
      </c>
      <c r="G108" s="18">
        <v>2</v>
      </c>
      <c r="H108" s="1">
        <v>112.00000428571582</v>
      </c>
      <c r="I108" s="5">
        <v>9999999.6173468176</v>
      </c>
      <c r="J108" s="17">
        <v>10000000</v>
      </c>
      <c r="K108" s="4">
        <v>11200000</v>
      </c>
      <c r="L108" s="4">
        <v>1200000</v>
      </c>
      <c r="M108" s="4">
        <v>199999.92857142858</v>
      </c>
    </row>
    <row r="109" spans="1:13" x14ac:dyDescent="0.35">
      <c r="A109" s="3" t="s">
        <v>117</v>
      </c>
      <c r="B109" s="2" t="s">
        <v>1471</v>
      </c>
      <c r="C109">
        <v>7226470</v>
      </c>
      <c r="D109" s="19">
        <v>1032353</v>
      </c>
      <c r="E109" s="18">
        <v>16.999999031339087</v>
      </c>
      <c r="F109" s="18">
        <v>9.9999990313390867</v>
      </c>
      <c r="G109" s="18">
        <v>7</v>
      </c>
      <c r="H109" s="1">
        <v>116.99999903133909</v>
      </c>
      <c r="I109" s="5">
        <v>15000000.124187298</v>
      </c>
      <c r="J109" s="17">
        <v>15000000</v>
      </c>
      <c r="K109" s="4">
        <v>17550000</v>
      </c>
      <c r="L109" s="4">
        <v>2550000</v>
      </c>
      <c r="M109" s="4">
        <v>1050000.0598290598</v>
      </c>
    </row>
    <row r="110" spans="1:13" x14ac:dyDescent="0.35">
      <c r="A110" s="3" t="s">
        <v>397</v>
      </c>
      <c r="B110" s="2" t="s">
        <v>1469</v>
      </c>
      <c r="C110">
        <v>3208694</v>
      </c>
      <c r="D110" s="19">
        <v>802174</v>
      </c>
      <c r="E110" s="18">
        <v>15.999997506775339</v>
      </c>
      <c r="F110" s="18">
        <v>11.999997506775339</v>
      </c>
      <c r="G110" s="18">
        <v>4</v>
      </c>
      <c r="H110" s="1">
        <v>115.99999750677534</v>
      </c>
      <c r="I110" s="5">
        <v>11064467.479191406</v>
      </c>
      <c r="J110" s="17">
        <v>11000000</v>
      </c>
      <c r="K110" s="4">
        <v>12834782</v>
      </c>
      <c r="L110" s="4">
        <v>1834782</v>
      </c>
      <c r="M110" s="4">
        <v>458695.57147694443</v>
      </c>
    </row>
    <row r="111" spans="1:13" ht="23" x14ac:dyDescent="0.35">
      <c r="A111" s="3" t="s">
        <v>326</v>
      </c>
      <c r="B111" s="2" t="s">
        <v>1403</v>
      </c>
      <c r="C111">
        <v>6417395</v>
      </c>
      <c r="D111" s="19">
        <v>1069565</v>
      </c>
      <c r="E111" s="18">
        <v>18.000004674797697</v>
      </c>
      <c r="F111" s="18">
        <v>11.000004674797697</v>
      </c>
      <c r="G111" s="18">
        <v>7</v>
      </c>
      <c r="H111" s="1">
        <v>118.00000467479769</v>
      </c>
      <c r="I111" s="5">
        <v>16315401.896006754</v>
      </c>
      <c r="J111" s="17">
        <v>16000000</v>
      </c>
      <c r="K111" s="4">
        <v>19252175</v>
      </c>
      <c r="L111" s="4">
        <v>3252175</v>
      </c>
      <c r="M111" s="4">
        <v>1264734.3937568092</v>
      </c>
    </row>
    <row r="112" spans="1:13" x14ac:dyDescent="0.35">
      <c r="A112" s="3" t="s">
        <v>210</v>
      </c>
      <c r="B112" s="2" t="s">
        <v>1406</v>
      </c>
      <c r="C112">
        <v>6417395</v>
      </c>
      <c r="D112" s="19">
        <v>1069565</v>
      </c>
      <c r="E112" s="18">
        <v>18.000004674797697</v>
      </c>
      <c r="F112" s="18">
        <v>11.000004674797697</v>
      </c>
      <c r="G112" s="18">
        <v>7</v>
      </c>
      <c r="H112" s="1">
        <v>118.00000467479769</v>
      </c>
      <c r="I112" s="5">
        <v>16315401.896006754</v>
      </c>
      <c r="J112" s="17">
        <v>16000000</v>
      </c>
      <c r="K112" s="4">
        <v>19252175</v>
      </c>
      <c r="L112" s="4">
        <v>3252175</v>
      </c>
      <c r="M112" s="4">
        <v>1264734.3937568092</v>
      </c>
    </row>
    <row r="113" spans="1:13" x14ac:dyDescent="0.35">
      <c r="A113" s="3" t="s">
        <v>161</v>
      </c>
      <c r="B113" s="2" t="s">
        <v>1472</v>
      </c>
      <c r="C113">
        <v>7700000</v>
      </c>
      <c r="D113" s="19">
        <v>1100000</v>
      </c>
      <c r="E113" s="18">
        <v>10</v>
      </c>
      <c r="F113" s="18">
        <v>3</v>
      </c>
      <c r="G113" s="18">
        <v>7</v>
      </c>
      <c r="H113" s="1">
        <v>110</v>
      </c>
      <c r="I113" s="5">
        <v>10000000</v>
      </c>
      <c r="J113" s="17">
        <v>10000000</v>
      </c>
      <c r="K113" s="4">
        <v>11000000</v>
      </c>
      <c r="L113" s="4">
        <v>1000000</v>
      </c>
      <c r="M113" s="4">
        <v>700000</v>
      </c>
    </row>
    <row r="114" spans="1:13" x14ac:dyDescent="0.35">
      <c r="A114" s="3" t="s">
        <v>401</v>
      </c>
      <c r="B114" s="2" t="s">
        <v>1394</v>
      </c>
      <c r="C114">
        <v>6533335</v>
      </c>
      <c r="D114" s="19">
        <v>933333</v>
      </c>
      <c r="E114" s="18">
        <v>12.000004285715816</v>
      </c>
      <c r="F114" s="18">
        <v>5.000004285715816</v>
      </c>
      <c r="G114" s="18">
        <v>7</v>
      </c>
      <c r="H114" s="1">
        <v>112.00000428571582</v>
      </c>
      <c r="I114" s="5">
        <v>9999999.6173468176</v>
      </c>
      <c r="J114" s="17">
        <v>10000000</v>
      </c>
      <c r="K114" s="4">
        <v>11200000</v>
      </c>
      <c r="L114" s="4">
        <v>1200000</v>
      </c>
      <c r="M114" s="4">
        <v>699999.75</v>
      </c>
    </row>
    <row r="115" spans="1:13" x14ac:dyDescent="0.35">
      <c r="A115" s="3" t="s">
        <v>151</v>
      </c>
      <c r="B115" s="2" t="s">
        <v>1524</v>
      </c>
      <c r="C115">
        <v>8</v>
      </c>
      <c r="D115" s="19">
        <v>1033333</v>
      </c>
      <c r="E115" s="18">
        <v>12.000007741937981</v>
      </c>
      <c r="F115" s="18">
        <v>11.000007741937981</v>
      </c>
      <c r="G115" s="18">
        <v>1</v>
      </c>
      <c r="H115" s="1">
        <v>112.00000774193798</v>
      </c>
      <c r="I115" s="5">
        <v>11071431.37755058</v>
      </c>
      <c r="J115" s="17">
        <v>11000000</v>
      </c>
      <c r="K115" s="4">
        <v>12400004</v>
      </c>
      <c r="L115" s="4">
        <v>1400004</v>
      </c>
      <c r="M115" s="4">
        <v>116666.92473099202</v>
      </c>
    </row>
    <row r="116" spans="1:13" x14ac:dyDescent="0.35">
      <c r="A116" s="3" t="s">
        <v>87</v>
      </c>
      <c r="B116" s="2" t="s">
        <v>1436</v>
      </c>
      <c r="C116">
        <v>5347830</v>
      </c>
      <c r="D116" s="19">
        <v>1069565</v>
      </c>
      <c r="E116" s="18">
        <v>17.000004674797697</v>
      </c>
      <c r="F116" s="18">
        <v>11.000004674797697</v>
      </c>
      <c r="G116" s="18">
        <v>6</v>
      </c>
      <c r="H116" s="1">
        <v>117.00000467479769</v>
      </c>
      <c r="I116" s="5">
        <v>15540691.686755642</v>
      </c>
      <c r="J116" s="17">
        <v>16000000</v>
      </c>
      <c r="K116" s="4">
        <v>18182610</v>
      </c>
      <c r="L116" s="4">
        <v>2182610</v>
      </c>
      <c r="M116" s="4">
        <v>770332.72934413713</v>
      </c>
    </row>
    <row r="117" spans="1:13" x14ac:dyDescent="0.35">
      <c r="A117" s="3" t="s">
        <v>744</v>
      </c>
      <c r="B117" s="2" t="s">
        <v>1435</v>
      </c>
      <c r="C117">
        <v>6417395</v>
      </c>
      <c r="D117" s="19">
        <v>1069565</v>
      </c>
      <c r="E117" s="18">
        <v>18.000004674797697</v>
      </c>
      <c r="F117" s="18">
        <v>11.000004674797697</v>
      </c>
      <c r="G117" s="18">
        <v>7</v>
      </c>
      <c r="H117" s="1">
        <v>118.00000467479769</v>
      </c>
      <c r="I117" s="5">
        <v>16315401.896006754</v>
      </c>
      <c r="J117" s="17">
        <v>16000000</v>
      </c>
      <c r="K117" s="4">
        <v>19252175</v>
      </c>
      <c r="L117" s="4">
        <v>3252175</v>
      </c>
      <c r="M117" s="4">
        <v>1264734.3937568092</v>
      </c>
    </row>
    <row r="118" spans="1:13" x14ac:dyDescent="0.35">
      <c r="A118" s="3" t="s">
        <v>366</v>
      </c>
      <c r="B118" s="2" t="s">
        <v>1609</v>
      </c>
      <c r="C118">
        <v>5161764</v>
      </c>
      <c r="D118" s="19">
        <v>1032353</v>
      </c>
      <c r="E118" s="18">
        <v>16.999999031339087</v>
      </c>
      <c r="F118" s="18">
        <v>11.999999031339087</v>
      </c>
      <c r="G118" s="18">
        <v>5</v>
      </c>
      <c r="H118" s="1">
        <v>116.99999903133909</v>
      </c>
      <c r="I118" s="5">
        <v>15000000.124187298</v>
      </c>
      <c r="J118" s="17">
        <v>15000000</v>
      </c>
      <c r="K118" s="4">
        <v>17550000</v>
      </c>
      <c r="L118" s="4">
        <v>2550000</v>
      </c>
      <c r="M118" s="4">
        <v>750000.04273504263</v>
      </c>
    </row>
    <row r="119" spans="1:13" x14ac:dyDescent="0.35">
      <c r="A119" s="3" t="s">
        <v>1172</v>
      </c>
      <c r="B119" s="2" t="s">
        <v>1620</v>
      </c>
      <c r="C119">
        <v>7700000</v>
      </c>
      <c r="D119" s="19">
        <v>1100000</v>
      </c>
      <c r="E119" s="18">
        <v>10</v>
      </c>
      <c r="F119" s="18">
        <v>3</v>
      </c>
      <c r="G119" s="18">
        <v>7</v>
      </c>
      <c r="H119" s="1">
        <v>110</v>
      </c>
      <c r="I119" s="5">
        <v>10000000</v>
      </c>
      <c r="J119" s="17">
        <v>10000000</v>
      </c>
      <c r="K119" s="4">
        <v>11000000</v>
      </c>
      <c r="L119" s="4">
        <v>1000000</v>
      </c>
      <c r="M119" s="4">
        <v>700000</v>
      </c>
    </row>
    <row r="120" spans="1:13" x14ac:dyDescent="0.35">
      <c r="A120" s="3" t="s">
        <v>650</v>
      </c>
      <c r="B120" s="2" t="s">
        <v>1523</v>
      </c>
      <c r="C120">
        <v>14452941</v>
      </c>
      <c r="D120" s="19">
        <v>1032353</v>
      </c>
      <c r="E120" s="18">
        <v>16.999999031339087</v>
      </c>
      <c r="F120" s="18">
        <v>2.9999990313390867</v>
      </c>
      <c r="G120" s="18">
        <v>14</v>
      </c>
      <c r="H120" s="1">
        <v>116.99999903133909</v>
      </c>
      <c r="I120" s="5">
        <v>15000000.124187298</v>
      </c>
      <c r="J120" s="17">
        <v>15000000</v>
      </c>
      <c r="K120" s="4">
        <v>17550000</v>
      </c>
      <c r="L120" s="4">
        <v>2550000</v>
      </c>
      <c r="M120" s="4">
        <v>2100000.1196581195</v>
      </c>
    </row>
    <row r="121" spans="1:13" x14ac:dyDescent="0.35">
      <c r="A121" s="3" t="s">
        <v>242</v>
      </c>
      <c r="B121" s="2" t="s">
        <v>1531</v>
      </c>
      <c r="C121">
        <v>21700001</v>
      </c>
      <c r="D121" s="19">
        <v>1033333</v>
      </c>
      <c r="E121" s="18">
        <v>24.000007741937981</v>
      </c>
      <c r="F121" s="18">
        <v>3.0000077419379814</v>
      </c>
      <c r="G121" s="18">
        <v>21</v>
      </c>
      <c r="H121" s="1">
        <v>124.00000774193798</v>
      </c>
      <c r="I121" s="5">
        <v>19999998.751300406</v>
      </c>
      <c r="J121" s="17">
        <v>20000000</v>
      </c>
      <c r="K121" s="4">
        <v>24800000</v>
      </c>
      <c r="L121" s="4">
        <v>4800000</v>
      </c>
      <c r="M121" s="4">
        <v>4199998.6451612907</v>
      </c>
    </row>
    <row r="122" spans="1:13" x14ac:dyDescent="0.35">
      <c r="A122" s="3" t="s">
        <v>583</v>
      </c>
      <c r="B122" s="2" t="s">
        <v>1428</v>
      </c>
      <c r="C122">
        <v>7700000</v>
      </c>
      <c r="D122" s="19">
        <v>1100000</v>
      </c>
      <c r="E122" s="18">
        <v>10</v>
      </c>
      <c r="F122" s="18">
        <v>3</v>
      </c>
      <c r="G122" s="18">
        <v>7</v>
      </c>
      <c r="H122" s="1">
        <v>110</v>
      </c>
      <c r="I122" s="5">
        <v>10000000</v>
      </c>
      <c r="J122" s="17">
        <v>10000000</v>
      </c>
      <c r="K122" s="4">
        <v>11000000</v>
      </c>
      <c r="L122" s="4">
        <v>1000000</v>
      </c>
      <c r="M122" s="4">
        <v>700000</v>
      </c>
    </row>
    <row r="123" spans="1:13" x14ac:dyDescent="0.35">
      <c r="A123" s="3" t="s">
        <v>116</v>
      </c>
      <c r="B123" s="2" t="s">
        <v>1619</v>
      </c>
      <c r="C123">
        <v>2100000</v>
      </c>
      <c r="D123" s="19">
        <v>1050000</v>
      </c>
      <c r="E123" s="18">
        <v>5</v>
      </c>
      <c r="F123" s="18">
        <v>3</v>
      </c>
      <c r="G123" s="18">
        <v>2</v>
      </c>
      <c r="H123" s="1">
        <v>105</v>
      </c>
      <c r="I123" s="5">
        <v>5000000</v>
      </c>
      <c r="J123" s="17">
        <v>5000000</v>
      </c>
      <c r="K123" s="4">
        <v>5250000</v>
      </c>
      <c r="L123" s="4">
        <v>250000</v>
      </c>
      <c r="M123" s="4">
        <v>100000</v>
      </c>
    </row>
    <row r="124" spans="1:13" x14ac:dyDescent="0.35">
      <c r="A124" s="3" t="s">
        <v>1141</v>
      </c>
      <c r="B124" s="2" t="s">
        <v>1616</v>
      </c>
      <c r="C124">
        <v>2100000</v>
      </c>
      <c r="D124" s="19">
        <v>1050000</v>
      </c>
      <c r="E124" s="18">
        <v>5</v>
      </c>
      <c r="F124" s="18">
        <v>3</v>
      </c>
      <c r="G124" s="18">
        <v>2</v>
      </c>
      <c r="H124" s="1">
        <v>105</v>
      </c>
      <c r="I124" s="5">
        <v>5000000</v>
      </c>
      <c r="J124" s="17">
        <v>5000000</v>
      </c>
      <c r="K124" s="4">
        <v>5250000</v>
      </c>
      <c r="L124" s="4">
        <v>250000</v>
      </c>
      <c r="M124" s="4">
        <v>100000</v>
      </c>
    </row>
    <row r="125" spans="1:13" x14ac:dyDescent="0.35">
      <c r="A125" s="3" t="s">
        <v>41</v>
      </c>
      <c r="B125" s="2" t="s">
        <v>1525</v>
      </c>
      <c r="C125">
        <v>19633335</v>
      </c>
      <c r="D125" s="19">
        <v>1033333</v>
      </c>
      <c r="E125" s="18">
        <v>24.000007741937981</v>
      </c>
      <c r="F125" s="18">
        <v>5.0000077419379814</v>
      </c>
      <c r="G125" s="18">
        <v>19</v>
      </c>
      <c r="H125" s="1">
        <v>124.00000774193798</v>
      </c>
      <c r="I125" s="5">
        <v>19999998.751300406</v>
      </c>
      <c r="J125" s="17">
        <v>20000000</v>
      </c>
      <c r="K125" s="4">
        <v>24800000</v>
      </c>
      <c r="L125" s="4">
        <v>4800000</v>
      </c>
      <c r="M125" s="4">
        <v>3799998.7741935486</v>
      </c>
    </row>
    <row r="126" spans="1:13" x14ac:dyDescent="0.35">
      <c r="A126" s="3" t="s">
        <v>1254</v>
      </c>
      <c r="B126" s="2" t="s">
        <v>1466</v>
      </c>
      <c r="C126">
        <v>2120000</v>
      </c>
      <c r="D126" s="19">
        <v>1060000</v>
      </c>
      <c r="E126" s="18">
        <v>6</v>
      </c>
      <c r="F126" s="18">
        <v>4</v>
      </c>
      <c r="G126" s="18">
        <v>2</v>
      </c>
      <c r="H126" s="1">
        <v>106</v>
      </c>
      <c r="I126" s="5">
        <v>6000000</v>
      </c>
      <c r="J126" s="17">
        <v>6000000</v>
      </c>
      <c r="K126" s="4">
        <v>6360000</v>
      </c>
      <c r="L126" s="4">
        <v>360000</v>
      </c>
      <c r="M126" s="4">
        <v>120000</v>
      </c>
    </row>
    <row r="127" spans="1:13" x14ac:dyDescent="0.35">
      <c r="A127" s="3" t="s">
        <v>1291</v>
      </c>
      <c r="B127" s="2" t="s">
        <v>1561</v>
      </c>
      <c r="C127">
        <v>1050000</v>
      </c>
      <c r="D127" s="19">
        <v>1050000</v>
      </c>
      <c r="E127" s="18">
        <v>5</v>
      </c>
      <c r="F127" s="18">
        <v>4</v>
      </c>
      <c r="G127" s="18">
        <v>1</v>
      </c>
      <c r="H127" s="1">
        <v>105</v>
      </c>
      <c r="I127" s="5">
        <v>5000000</v>
      </c>
      <c r="J127" s="17">
        <v>5000000</v>
      </c>
      <c r="K127" s="4">
        <v>5250000</v>
      </c>
      <c r="L127" s="4">
        <v>250000</v>
      </c>
      <c r="M127" s="4">
        <v>50000</v>
      </c>
    </row>
    <row r="128" spans="1:13" ht="23" x14ac:dyDescent="0.35">
      <c r="A128" s="3" t="s">
        <v>295</v>
      </c>
      <c r="B128" s="2" t="s">
        <v>1393</v>
      </c>
      <c r="C128">
        <v>3150000</v>
      </c>
      <c r="D128" s="19">
        <v>1050000</v>
      </c>
      <c r="E128" s="18">
        <v>5</v>
      </c>
      <c r="F128" s="18">
        <v>2</v>
      </c>
      <c r="G128" s="18">
        <v>3</v>
      </c>
      <c r="H128" s="1">
        <v>105</v>
      </c>
      <c r="I128" s="5">
        <v>5000000</v>
      </c>
      <c r="J128" s="17">
        <v>5000000</v>
      </c>
      <c r="K128" s="4">
        <v>5250000</v>
      </c>
      <c r="L128" s="4">
        <v>250000</v>
      </c>
      <c r="M128" s="4">
        <v>150000</v>
      </c>
    </row>
    <row r="129" spans="1:13" x14ac:dyDescent="0.35">
      <c r="A129" s="3" t="s">
        <v>1026</v>
      </c>
      <c r="B129" s="2" t="s">
        <v>1464</v>
      </c>
      <c r="C129">
        <v>8800000</v>
      </c>
      <c r="D129" s="19">
        <v>1100000</v>
      </c>
      <c r="E129" s="18">
        <v>10</v>
      </c>
      <c r="F129" s="18">
        <v>2</v>
      </c>
      <c r="G129" s="18">
        <v>8</v>
      </c>
      <c r="H129" s="1">
        <v>110</v>
      </c>
      <c r="I129" s="5">
        <v>10000000</v>
      </c>
      <c r="J129" s="17">
        <v>10000000</v>
      </c>
      <c r="K129" s="4">
        <v>11000000</v>
      </c>
      <c r="L129" s="4">
        <v>1000000</v>
      </c>
      <c r="M129" s="4">
        <v>800000</v>
      </c>
    </row>
    <row r="130" spans="1:13" ht="23" x14ac:dyDescent="0.35">
      <c r="A130" s="3" t="s">
        <v>1051</v>
      </c>
      <c r="B130" s="2" t="s">
        <v>1646</v>
      </c>
      <c r="C130">
        <v>2650000</v>
      </c>
      <c r="D130" s="19">
        <v>530000</v>
      </c>
      <c r="E130" s="18">
        <v>6</v>
      </c>
      <c r="F130" s="18">
        <v>1</v>
      </c>
      <c r="G130" s="18">
        <v>5</v>
      </c>
      <c r="H130" s="1">
        <v>106</v>
      </c>
      <c r="I130" s="5">
        <v>3000000</v>
      </c>
      <c r="J130" s="17">
        <v>3000000</v>
      </c>
      <c r="K130" s="4">
        <v>3180000</v>
      </c>
      <c r="L130" s="4">
        <v>180000</v>
      </c>
      <c r="M130" s="4">
        <v>150000</v>
      </c>
    </row>
    <row r="131" spans="1:13" x14ac:dyDescent="0.35">
      <c r="A131" s="3" t="s">
        <v>638</v>
      </c>
      <c r="B131" s="2" t="s">
        <v>1458</v>
      </c>
      <c r="C131">
        <v>4129411</v>
      </c>
      <c r="D131" s="19">
        <v>1032353</v>
      </c>
      <c r="E131" s="18">
        <v>15.999999031339087</v>
      </c>
      <c r="F131" s="18">
        <v>11.999999031339087</v>
      </c>
      <c r="G131" s="18">
        <v>4</v>
      </c>
      <c r="H131" s="1">
        <v>115.99999903133909</v>
      </c>
      <c r="I131" s="5">
        <v>14239350.980975024</v>
      </c>
      <c r="J131" s="17">
        <v>14000000</v>
      </c>
      <c r="K131" s="4">
        <v>16517647</v>
      </c>
      <c r="L131" s="4">
        <v>2517647</v>
      </c>
      <c r="M131" s="4">
        <v>629411.78810541239</v>
      </c>
    </row>
    <row r="132" spans="1:13" x14ac:dyDescent="0.35">
      <c r="A132" s="3" t="s">
        <v>933</v>
      </c>
      <c r="B132" s="2" t="s">
        <v>1388</v>
      </c>
      <c r="C132">
        <v>933337</v>
      </c>
      <c r="D132" s="19">
        <v>933333</v>
      </c>
      <c r="E132" s="18">
        <v>12.000004285715816</v>
      </c>
      <c r="F132" s="18">
        <v>11.000004285715816</v>
      </c>
      <c r="G132" s="18">
        <v>1</v>
      </c>
      <c r="H132" s="1">
        <v>112.00000428571582</v>
      </c>
      <c r="I132" s="5">
        <v>9999999.6173468176</v>
      </c>
      <c r="J132" s="17">
        <v>10000000</v>
      </c>
      <c r="K132" s="4">
        <v>11200000</v>
      </c>
      <c r="L132" s="4">
        <v>1200000</v>
      </c>
      <c r="M132" s="4">
        <v>99999.96428571429</v>
      </c>
    </row>
    <row r="133" spans="1:13" x14ac:dyDescent="0.35">
      <c r="A133" s="3" t="s">
        <v>403</v>
      </c>
      <c r="B133" s="2" t="s">
        <v>1381</v>
      </c>
      <c r="C133">
        <v>1069570</v>
      </c>
      <c r="D133" s="19">
        <v>1069565</v>
      </c>
      <c r="E133" s="18">
        <v>13.000004674797697</v>
      </c>
      <c r="F133" s="18">
        <v>11.000004674797697</v>
      </c>
      <c r="G133" s="18">
        <v>2</v>
      </c>
      <c r="H133" s="1">
        <v>113.00000467479769</v>
      </c>
      <c r="I133" s="5">
        <v>12304734.00422883</v>
      </c>
      <c r="J133" s="17">
        <v>12000000</v>
      </c>
      <c r="K133" s="4">
        <v>13904350</v>
      </c>
      <c r="L133" s="4">
        <v>1904350</v>
      </c>
      <c r="M133" s="4">
        <v>292976.8177225113</v>
      </c>
    </row>
    <row r="134" spans="1:13" ht="23" x14ac:dyDescent="0.35">
      <c r="A134" s="3" t="s">
        <v>358</v>
      </c>
      <c r="B134" s="2" t="s">
        <v>1383</v>
      </c>
      <c r="C134">
        <v>7233339</v>
      </c>
      <c r="D134" s="19">
        <v>1033333</v>
      </c>
      <c r="E134" s="18">
        <v>19.000007741937981</v>
      </c>
      <c r="F134" s="18">
        <v>11.000007741937981</v>
      </c>
      <c r="G134" s="18">
        <v>8</v>
      </c>
      <c r="H134" s="1">
        <v>119.00000774193798</v>
      </c>
      <c r="I134" s="5">
        <v>16498599.766965242</v>
      </c>
      <c r="J134" s="17">
        <v>16000000</v>
      </c>
      <c r="K134" s="4">
        <v>19633335</v>
      </c>
      <c r="L134" s="4">
        <v>3633335</v>
      </c>
      <c r="M134" s="4">
        <v>1529824.6397996061</v>
      </c>
    </row>
    <row r="135" spans="1:13" x14ac:dyDescent="0.35">
      <c r="A135" s="3" t="s">
        <v>294</v>
      </c>
      <c r="B135" s="2" t="s">
        <v>1456</v>
      </c>
      <c r="C135">
        <v>11765220</v>
      </c>
      <c r="D135" s="19">
        <v>1069565</v>
      </c>
      <c r="E135" s="18">
        <v>23.000004674797697</v>
      </c>
      <c r="F135" s="18">
        <v>12.000004674797697</v>
      </c>
      <c r="G135" s="18">
        <v>11</v>
      </c>
      <c r="H135" s="1">
        <v>123.00000467479769</v>
      </c>
      <c r="I135" s="5">
        <v>19999999.239870325</v>
      </c>
      <c r="J135" s="17">
        <v>20000000</v>
      </c>
      <c r="K135" s="4">
        <v>24600000</v>
      </c>
      <c r="L135" s="4">
        <v>4600000</v>
      </c>
      <c r="M135" s="4">
        <v>2199999.5528455283</v>
      </c>
    </row>
    <row r="136" spans="1:13" ht="23" x14ac:dyDescent="0.35">
      <c r="A136" s="3" t="s">
        <v>316</v>
      </c>
      <c r="B136" s="2" t="s">
        <v>1391</v>
      </c>
      <c r="C136">
        <v>21391305</v>
      </c>
      <c r="D136" s="19">
        <v>1069565</v>
      </c>
      <c r="E136" s="18">
        <v>23.000004674797697</v>
      </c>
      <c r="F136" s="18">
        <v>3.0000046747976974</v>
      </c>
      <c r="G136" s="18">
        <v>20</v>
      </c>
      <c r="H136" s="1">
        <v>123.00000467479769</v>
      </c>
      <c r="I136" s="5">
        <v>19999999.239870325</v>
      </c>
      <c r="J136" s="17">
        <v>20000000</v>
      </c>
      <c r="K136" s="4">
        <v>24600000</v>
      </c>
      <c r="L136" s="4">
        <v>4600000</v>
      </c>
      <c r="M136" s="4">
        <v>3999999.1869918699</v>
      </c>
    </row>
    <row r="137" spans="1:13" x14ac:dyDescent="0.35">
      <c r="A137" s="3" t="s">
        <v>323</v>
      </c>
      <c r="B137" s="2" t="s">
        <v>1462</v>
      </c>
      <c r="C137">
        <v>14137500</v>
      </c>
      <c r="D137" s="19">
        <v>1087500</v>
      </c>
      <c r="E137" s="18">
        <v>16</v>
      </c>
      <c r="F137" s="18">
        <v>3</v>
      </c>
      <c r="G137" s="18">
        <v>13</v>
      </c>
      <c r="H137" s="1">
        <v>116</v>
      </c>
      <c r="I137" s="5">
        <v>15000000</v>
      </c>
      <c r="J137" s="17">
        <v>15000000</v>
      </c>
      <c r="K137" s="4">
        <v>17400000</v>
      </c>
      <c r="L137" s="4">
        <v>2400000</v>
      </c>
      <c r="M137" s="4">
        <v>1950000</v>
      </c>
    </row>
    <row r="138" spans="1:13" x14ac:dyDescent="0.35">
      <c r="A138" s="3" t="s">
        <v>390</v>
      </c>
      <c r="B138" s="2" t="s">
        <v>1459</v>
      </c>
      <c r="C138">
        <v>6054545</v>
      </c>
      <c r="D138" s="19">
        <v>1009091</v>
      </c>
      <c r="E138" s="18">
        <v>10.999999009009098</v>
      </c>
      <c r="F138" s="18">
        <v>4.9999990090090982</v>
      </c>
      <c r="G138" s="18">
        <v>6</v>
      </c>
      <c r="H138" s="1">
        <v>110.9999990090091</v>
      </c>
      <c r="I138" s="5">
        <v>10000000.089278461</v>
      </c>
      <c r="J138" s="17">
        <v>10000000</v>
      </c>
      <c r="K138" s="4">
        <v>11100000</v>
      </c>
      <c r="L138" s="4">
        <v>1100000</v>
      </c>
      <c r="M138" s="4">
        <v>600000.05405405408</v>
      </c>
    </row>
    <row r="139" spans="1:13" x14ac:dyDescent="0.35">
      <c r="A139" s="3" t="s">
        <v>1110</v>
      </c>
      <c r="B139" s="2" t="s">
        <v>1387</v>
      </c>
      <c r="C139">
        <v>18854545</v>
      </c>
      <c r="D139" s="19">
        <v>1109091</v>
      </c>
      <c r="E139" s="18">
        <v>21.99999819672146</v>
      </c>
      <c r="F139" s="18">
        <v>4.9999981967214602</v>
      </c>
      <c r="G139" s="18">
        <v>17</v>
      </c>
      <c r="H139" s="1">
        <v>121.99999819672146</v>
      </c>
      <c r="I139" s="5">
        <v>20000000.295619436</v>
      </c>
      <c r="J139" s="17">
        <v>20000000</v>
      </c>
      <c r="K139" s="4">
        <v>24400000</v>
      </c>
      <c r="L139" s="4">
        <v>4400000</v>
      </c>
      <c r="M139" s="4">
        <v>3400000.2786885244</v>
      </c>
    </row>
    <row r="140" spans="1:13" ht="23" x14ac:dyDescent="0.35">
      <c r="A140" s="3" t="s">
        <v>447</v>
      </c>
      <c r="B140" s="2" t="s">
        <v>1461</v>
      </c>
      <c r="C140">
        <v>19252175</v>
      </c>
      <c r="D140" s="19">
        <v>1069565</v>
      </c>
      <c r="E140" s="18">
        <v>23.000004674797697</v>
      </c>
      <c r="F140" s="18">
        <v>5.0000046747976974</v>
      </c>
      <c r="G140" s="18">
        <v>18</v>
      </c>
      <c r="H140" s="1">
        <v>123.00000467479769</v>
      </c>
      <c r="I140" s="5">
        <v>19999999.239870325</v>
      </c>
      <c r="J140" s="17">
        <v>20000000</v>
      </c>
      <c r="K140" s="4">
        <v>24600000</v>
      </c>
      <c r="L140" s="4">
        <v>4600000</v>
      </c>
      <c r="M140" s="4">
        <v>3599999.2682926832</v>
      </c>
    </row>
    <row r="141" spans="1:13" x14ac:dyDescent="0.35">
      <c r="A141" s="3" t="s">
        <v>1271</v>
      </c>
      <c r="B141" s="2" t="s">
        <v>1564</v>
      </c>
      <c r="C141">
        <v>1528570</v>
      </c>
      <c r="D141" s="19">
        <v>764286</v>
      </c>
      <c r="E141" s="18">
        <v>6.999997383178548</v>
      </c>
      <c r="F141" s="18">
        <v>4.999997383178548</v>
      </c>
      <c r="G141" s="18">
        <v>2</v>
      </c>
      <c r="H141" s="1">
        <v>106.99999738317855</v>
      </c>
      <c r="I141" s="5">
        <v>5000000.1222813791</v>
      </c>
      <c r="J141" s="17">
        <v>5000000</v>
      </c>
      <c r="K141" s="4">
        <v>5350000</v>
      </c>
      <c r="L141" s="4">
        <v>350000</v>
      </c>
      <c r="M141" s="4">
        <v>100000.03738317758</v>
      </c>
    </row>
    <row r="142" spans="1:13" x14ac:dyDescent="0.35">
      <c r="A142" s="3" t="s">
        <v>766</v>
      </c>
      <c r="B142" s="2" t="s">
        <v>1395</v>
      </c>
      <c r="C142">
        <v>6054545</v>
      </c>
      <c r="D142" s="19">
        <v>1009091</v>
      </c>
      <c r="E142" s="18">
        <v>10.999999009009098</v>
      </c>
      <c r="F142" s="18">
        <v>4.9999990090090982</v>
      </c>
      <c r="G142" s="18">
        <v>6</v>
      </c>
      <c r="H142" s="1">
        <v>110.9999990090091</v>
      </c>
      <c r="I142" s="5">
        <v>10000000.089278461</v>
      </c>
      <c r="J142" s="17">
        <v>10000000</v>
      </c>
      <c r="K142" s="4">
        <v>11100000</v>
      </c>
      <c r="L142" s="4">
        <v>1100000</v>
      </c>
      <c r="M142" s="4">
        <v>600000.05405405408</v>
      </c>
    </row>
    <row r="143" spans="1:13" ht="23" x14ac:dyDescent="0.35">
      <c r="A143" s="3" t="s">
        <v>915</v>
      </c>
      <c r="B143" s="2" t="s">
        <v>1477</v>
      </c>
      <c r="C143">
        <v>6533335</v>
      </c>
      <c r="D143" s="19">
        <v>933333</v>
      </c>
      <c r="E143" s="18">
        <v>12.000004285715816</v>
      </c>
      <c r="F143" s="18">
        <v>5.000004285715816</v>
      </c>
      <c r="G143" s="18">
        <v>7</v>
      </c>
      <c r="H143" s="1">
        <v>112.00000428571582</v>
      </c>
      <c r="I143" s="5">
        <v>9999999.6173468176</v>
      </c>
      <c r="J143" s="17">
        <v>10000000</v>
      </c>
      <c r="K143" s="4">
        <v>11200000</v>
      </c>
      <c r="L143" s="4">
        <v>1200000</v>
      </c>
      <c r="M143" s="4">
        <v>699999.75</v>
      </c>
    </row>
    <row r="144" spans="1:13" x14ac:dyDescent="0.35">
      <c r="A144" s="3" t="s">
        <v>799</v>
      </c>
      <c r="B144" s="2" t="s">
        <v>1479</v>
      </c>
      <c r="C144">
        <v>11962500</v>
      </c>
      <c r="D144" s="19">
        <v>1087500</v>
      </c>
      <c r="E144" s="18">
        <v>16</v>
      </c>
      <c r="F144" s="18">
        <v>5</v>
      </c>
      <c r="G144" s="18">
        <v>11</v>
      </c>
      <c r="H144" s="1">
        <v>116</v>
      </c>
      <c r="I144" s="5">
        <v>15000000</v>
      </c>
      <c r="J144" s="17">
        <v>15000000</v>
      </c>
      <c r="K144" s="4">
        <v>17400000</v>
      </c>
      <c r="L144" s="4">
        <v>2400000</v>
      </c>
      <c r="M144" s="4">
        <v>1650000</v>
      </c>
    </row>
    <row r="145" spans="1:13" x14ac:dyDescent="0.35">
      <c r="A145" s="3" t="s">
        <v>181</v>
      </c>
      <c r="B145" s="2" t="s">
        <v>1610</v>
      </c>
      <c r="C145">
        <v>6054545</v>
      </c>
      <c r="D145" s="19">
        <v>1009091</v>
      </c>
      <c r="E145" s="18">
        <v>10.999999009009098</v>
      </c>
      <c r="F145" s="18">
        <v>4.9999990090090982</v>
      </c>
      <c r="G145" s="18">
        <v>6</v>
      </c>
      <c r="H145" s="1">
        <v>110.9999990090091</v>
      </c>
      <c r="I145" s="5">
        <v>10000000.089278461</v>
      </c>
      <c r="J145" s="17">
        <v>10000000</v>
      </c>
      <c r="K145" s="4">
        <v>11100000</v>
      </c>
      <c r="L145" s="4">
        <v>1100000</v>
      </c>
      <c r="M145" s="4">
        <v>600000.05405405408</v>
      </c>
    </row>
    <row r="146" spans="1:13" x14ac:dyDescent="0.35">
      <c r="A146" s="3" t="s">
        <v>460</v>
      </c>
      <c r="B146" s="2" t="s">
        <v>1427</v>
      </c>
      <c r="C146">
        <v>5500000</v>
      </c>
      <c r="D146" s="19">
        <v>1100000</v>
      </c>
      <c r="E146" s="18">
        <v>10</v>
      </c>
      <c r="F146" s="18">
        <v>5</v>
      </c>
      <c r="G146" s="18">
        <v>5</v>
      </c>
      <c r="H146" s="1">
        <v>110</v>
      </c>
      <c r="I146" s="5">
        <v>10000000</v>
      </c>
      <c r="J146" s="17">
        <v>10000000</v>
      </c>
      <c r="K146" s="4">
        <v>11000000</v>
      </c>
      <c r="L146" s="4">
        <v>1000000</v>
      </c>
      <c r="M146" s="4">
        <v>500000</v>
      </c>
    </row>
    <row r="147" spans="1:13" x14ac:dyDescent="0.35">
      <c r="A147" s="3" t="s">
        <v>642</v>
      </c>
      <c r="B147" s="2" t="s">
        <v>1429</v>
      </c>
      <c r="C147">
        <v>2750000</v>
      </c>
      <c r="D147" s="19">
        <v>550000</v>
      </c>
      <c r="E147" s="18">
        <v>10</v>
      </c>
      <c r="F147" s="18">
        <v>5</v>
      </c>
      <c r="G147" s="18">
        <v>5</v>
      </c>
      <c r="H147" s="1">
        <v>110</v>
      </c>
      <c r="I147" s="5">
        <v>5000000</v>
      </c>
      <c r="J147" s="17">
        <v>5000000</v>
      </c>
      <c r="K147" s="4">
        <v>5500000</v>
      </c>
      <c r="L147" s="4">
        <v>500000</v>
      </c>
      <c r="M147" s="4">
        <v>250000</v>
      </c>
    </row>
    <row r="148" spans="1:13" x14ac:dyDescent="0.35">
      <c r="A148" s="3" t="s">
        <v>1011</v>
      </c>
      <c r="B148" s="2" t="s">
        <v>1613</v>
      </c>
      <c r="C148">
        <v>2750000</v>
      </c>
      <c r="D148" s="19">
        <v>550000</v>
      </c>
      <c r="E148" s="18">
        <v>10</v>
      </c>
      <c r="F148" s="18">
        <v>5</v>
      </c>
      <c r="G148" s="18">
        <v>5</v>
      </c>
      <c r="H148" s="1">
        <v>110</v>
      </c>
      <c r="I148" s="5">
        <v>5000000</v>
      </c>
      <c r="J148" s="17">
        <v>5000000</v>
      </c>
      <c r="K148" s="4">
        <v>5500000</v>
      </c>
      <c r="L148" s="4">
        <v>500000</v>
      </c>
      <c r="M148" s="4">
        <v>250000</v>
      </c>
    </row>
    <row r="149" spans="1:13" ht="23" x14ac:dyDescent="0.35">
      <c r="A149" s="3" t="s">
        <v>255</v>
      </c>
      <c r="B149" s="2" t="s">
        <v>1370</v>
      </c>
      <c r="C149">
        <v>8700000</v>
      </c>
      <c r="D149" s="19">
        <v>1087500</v>
      </c>
      <c r="E149" s="18">
        <v>16</v>
      </c>
      <c r="F149" s="18">
        <v>8</v>
      </c>
      <c r="G149" s="18">
        <v>8</v>
      </c>
      <c r="H149" s="1">
        <v>116</v>
      </c>
      <c r="I149" s="5">
        <v>15000000</v>
      </c>
      <c r="J149" s="17">
        <v>15000000</v>
      </c>
      <c r="K149" s="4">
        <v>17400000</v>
      </c>
      <c r="L149" s="4">
        <v>2400000</v>
      </c>
      <c r="M149" s="4">
        <v>1200000</v>
      </c>
    </row>
    <row r="150" spans="1:13" x14ac:dyDescent="0.35">
      <c r="A150" s="3" t="s">
        <v>457</v>
      </c>
      <c r="B150" s="2" t="s">
        <v>1366</v>
      </c>
      <c r="C150">
        <v>15527272</v>
      </c>
      <c r="D150" s="19">
        <v>1109091</v>
      </c>
      <c r="E150" s="18">
        <v>21.99999819672146</v>
      </c>
      <c r="F150" s="18">
        <v>7.9999981967214602</v>
      </c>
      <c r="G150" s="18">
        <v>14</v>
      </c>
      <c r="H150" s="1">
        <v>121.99999819672146</v>
      </c>
      <c r="I150" s="5">
        <v>20000000.295619436</v>
      </c>
      <c r="J150" s="17">
        <v>20000000</v>
      </c>
      <c r="K150" s="4">
        <v>24400000</v>
      </c>
      <c r="L150" s="4">
        <v>4400000</v>
      </c>
      <c r="M150" s="4">
        <v>2800000.2295081965</v>
      </c>
    </row>
    <row r="151" spans="1:13" ht="23" x14ac:dyDescent="0.35">
      <c r="A151" s="3" t="s">
        <v>221</v>
      </c>
      <c r="B151" s="2" t="s">
        <v>1481</v>
      </c>
      <c r="C151">
        <v>16043480</v>
      </c>
      <c r="D151" s="19">
        <v>1069565</v>
      </c>
      <c r="E151" s="18">
        <v>23.000004674797697</v>
      </c>
      <c r="F151" s="18">
        <v>8.0000046747976974</v>
      </c>
      <c r="G151" s="18">
        <v>15</v>
      </c>
      <c r="H151" s="1">
        <v>123.00000467479769</v>
      </c>
      <c r="I151" s="5">
        <v>19999999.239870325</v>
      </c>
      <c r="J151" s="17">
        <v>20000000</v>
      </c>
      <c r="K151" s="4">
        <v>24600000</v>
      </c>
      <c r="L151" s="4">
        <v>4600000</v>
      </c>
      <c r="M151" s="4">
        <v>2999999.3902439023</v>
      </c>
    </row>
    <row r="152" spans="1:13" x14ac:dyDescent="0.35">
      <c r="A152" s="3" t="s">
        <v>550</v>
      </c>
      <c r="B152" s="2" t="s">
        <v>1367</v>
      </c>
      <c r="C152">
        <v>3300000</v>
      </c>
      <c r="D152" s="19">
        <v>1100000</v>
      </c>
      <c r="E152" s="18">
        <v>10</v>
      </c>
      <c r="F152" s="18">
        <v>7</v>
      </c>
      <c r="G152" s="18">
        <v>3</v>
      </c>
      <c r="H152" s="1">
        <v>110</v>
      </c>
      <c r="I152" s="5">
        <v>10000000</v>
      </c>
      <c r="J152" s="17">
        <v>10000000</v>
      </c>
      <c r="K152" s="4">
        <v>11000000</v>
      </c>
      <c r="L152" s="4">
        <v>1000000</v>
      </c>
      <c r="M152" s="4">
        <v>300000</v>
      </c>
    </row>
    <row r="153" spans="1:13" x14ac:dyDescent="0.35">
      <c r="A153" s="3" t="s">
        <v>113</v>
      </c>
      <c r="B153" s="2" t="s">
        <v>1486</v>
      </c>
      <c r="C153">
        <v>3300000</v>
      </c>
      <c r="D153" s="19">
        <v>1100000</v>
      </c>
      <c r="E153" s="18">
        <v>10</v>
      </c>
      <c r="F153" s="18">
        <v>7</v>
      </c>
      <c r="G153" s="18">
        <v>3</v>
      </c>
      <c r="H153" s="1">
        <v>110</v>
      </c>
      <c r="I153" s="5">
        <v>10000000</v>
      </c>
      <c r="J153" s="17">
        <v>10000000</v>
      </c>
      <c r="K153" s="4">
        <v>11000000</v>
      </c>
      <c r="L153" s="4">
        <v>1000000</v>
      </c>
      <c r="M153" s="4">
        <v>300000</v>
      </c>
    </row>
    <row r="154" spans="1:13" x14ac:dyDescent="0.35">
      <c r="A154" s="3" t="s">
        <v>237</v>
      </c>
      <c r="B154" s="2" t="s">
        <v>1364</v>
      </c>
      <c r="C154">
        <v>4000000</v>
      </c>
      <c r="D154" s="19">
        <v>1000000</v>
      </c>
      <c r="E154" s="18">
        <v>11</v>
      </c>
      <c r="F154" s="18">
        <v>7</v>
      </c>
      <c r="G154" s="18">
        <v>4</v>
      </c>
      <c r="H154" s="1">
        <v>111</v>
      </c>
      <c r="I154" s="5">
        <v>9909909.9099099096</v>
      </c>
      <c r="J154" s="17">
        <v>10000000</v>
      </c>
      <c r="K154" s="4">
        <v>11000000</v>
      </c>
      <c r="L154" s="4">
        <v>1000000</v>
      </c>
      <c r="M154" s="4">
        <v>363636.36363636365</v>
      </c>
    </row>
    <row r="155" spans="1:13" x14ac:dyDescent="0.35">
      <c r="A155" s="3" t="s">
        <v>712</v>
      </c>
      <c r="B155" s="2" t="s">
        <v>1378</v>
      </c>
      <c r="C155">
        <v>17113045</v>
      </c>
      <c r="D155" s="19">
        <v>1069565</v>
      </c>
      <c r="E155" s="18">
        <v>23.000004674797697</v>
      </c>
      <c r="F155" s="18">
        <v>7.0000046747976974</v>
      </c>
      <c r="G155" s="18">
        <v>16</v>
      </c>
      <c r="H155" s="1">
        <v>123.00000467479769</v>
      </c>
      <c r="I155" s="5">
        <v>19999999.239870325</v>
      </c>
      <c r="J155" s="17">
        <v>20000000</v>
      </c>
      <c r="K155" s="4">
        <v>24600000</v>
      </c>
      <c r="L155" s="4">
        <v>4600000</v>
      </c>
      <c r="M155" s="4">
        <v>3199999.349593496</v>
      </c>
    </row>
    <row r="156" spans="1:13" x14ac:dyDescent="0.35">
      <c r="A156" s="3" t="s">
        <v>853</v>
      </c>
      <c r="B156" s="2" t="s">
        <v>1568</v>
      </c>
      <c r="C156">
        <v>4400000</v>
      </c>
      <c r="D156" s="19">
        <v>1100000</v>
      </c>
      <c r="E156" s="18">
        <v>10</v>
      </c>
      <c r="F156" s="18">
        <v>6</v>
      </c>
      <c r="G156" s="18">
        <v>4</v>
      </c>
      <c r="H156" s="1">
        <v>110</v>
      </c>
      <c r="I156" s="5">
        <v>10000000</v>
      </c>
      <c r="J156" s="17">
        <v>10000000</v>
      </c>
      <c r="K156" s="4">
        <v>11000000</v>
      </c>
      <c r="L156" s="4">
        <v>1000000</v>
      </c>
      <c r="M156" s="4">
        <v>400000</v>
      </c>
    </row>
    <row r="157" spans="1:13" x14ac:dyDescent="0.35">
      <c r="A157" s="3" t="s">
        <v>1211</v>
      </c>
      <c r="B157" s="2" t="s">
        <v>1379</v>
      </c>
      <c r="C157">
        <v>10875000</v>
      </c>
      <c r="D157" s="19">
        <v>1087500</v>
      </c>
      <c r="E157" s="18">
        <v>16</v>
      </c>
      <c r="F157" s="18">
        <v>6</v>
      </c>
      <c r="G157" s="18">
        <v>10</v>
      </c>
      <c r="H157" s="1">
        <v>116</v>
      </c>
      <c r="I157" s="5">
        <v>15000000</v>
      </c>
      <c r="J157" s="17">
        <v>15000000</v>
      </c>
      <c r="K157" s="4">
        <v>17400000</v>
      </c>
      <c r="L157" s="4">
        <v>2400000</v>
      </c>
      <c r="M157" s="4">
        <v>1500000</v>
      </c>
    </row>
    <row r="158" spans="1:13" x14ac:dyDescent="0.35">
      <c r="A158" s="3" t="s">
        <v>907</v>
      </c>
      <c r="B158" s="2" t="s">
        <v>1566</v>
      </c>
      <c r="C158">
        <v>19963636</v>
      </c>
      <c r="D158" s="19">
        <v>1109091</v>
      </c>
      <c r="E158" s="18">
        <v>21.99999819672146</v>
      </c>
      <c r="F158" s="18">
        <v>3.9999981967214602</v>
      </c>
      <c r="G158" s="18">
        <v>18</v>
      </c>
      <c r="H158" s="1">
        <v>121.99999819672146</v>
      </c>
      <c r="I158" s="5">
        <v>20000000.295619436</v>
      </c>
      <c r="J158" s="17">
        <v>20000000</v>
      </c>
      <c r="K158" s="4">
        <v>24400000</v>
      </c>
      <c r="L158" s="4">
        <v>4400000</v>
      </c>
      <c r="M158" s="4">
        <v>3600000.295081967</v>
      </c>
    </row>
    <row r="159" spans="1:13" x14ac:dyDescent="0.35">
      <c r="A159" s="3" t="s">
        <v>1086</v>
      </c>
      <c r="B159" s="2" t="s">
        <v>1567</v>
      </c>
      <c r="C159">
        <v>1766668</v>
      </c>
      <c r="D159" s="19">
        <v>883333</v>
      </c>
      <c r="E159" s="18">
        <v>6.0000022641517976</v>
      </c>
      <c r="F159" s="18">
        <v>4.0000022641517976</v>
      </c>
      <c r="G159" s="18">
        <v>2</v>
      </c>
      <c r="H159" s="1">
        <v>106.0000022641518</v>
      </c>
      <c r="I159" s="5">
        <v>4999999.8932003891</v>
      </c>
      <c r="J159" s="17">
        <v>5000000</v>
      </c>
      <c r="K159" s="4">
        <v>5300000</v>
      </c>
      <c r="L159" s="4">
        <v>300000</v>
      </c>
      <c r="M159" s="4">
        <v>99999.962264150949</v>
      </c>
    </row>
    <row r="160" spans="1:13" x14ac:dyDescent="0.35">
      <c r="A160" s="3" t="s">
        <v>975</v>
      </c>
      <c r="B160" s="2" t="s">
        <v>1492</v>
      </c>
      <c r="C160">
        <v>1050000</v>
      </c>
      <c r="D160" s="19">
        <v>1050000</v>
      </c>
      <c r="E160" s="18">
        <v>5</v>
      </c>
      <c r="F160" s="18">
        <v>4</v>
      </c>
      <c r="G160" s="18">
        <v>1</v>
      </c>
      <c r="H160" s="1">
        <v>105</v>
      </c>
      <c r="I160" s="5">
        <v>5000000</v>
      </c>
      <c r="J160" s="17">
        <v>5000000</v>
      </c>
      <c r="K160" s="4">
        <v>5250000</v>
      </c>
      <c r="L160" s="4">
        <v>250000</v>
      </c>
      <c r="M160" s="4">
        <v>50000</v>
      </c>
    </row>
    <row r="161" spans="1:13" x14ac:dyDescent="0.35">
      <c r="A161" s="3" t="s">
        <v>1189</v>
      </c>
      <c r="B161" s="2" t="s">
        <v>1572</v>
      </c>
      <c r="C161">
        <v>934500</v>
      </c>
      <c r="D161" s="19">
        <v>934500</v>
      </c>
      <c r="E161" s="18">
        <v>5</v>
      </c>
      <c r="F161" s="18">
        <v>4</v>
      </c>
      <c r="G161" s="18">
        <v>1</v>
      </c>
      <c r="H161" s="1">
        <v>105</v>
      </c>
      <c r="I161" s="5">
        <v>4450000</v>
      </c>
      <c r="J161" s="17">
        <v>4000000</v>
      </c>
      <c r="K161" s="4">
        <v>4672500</v>
      </c>
      <c r="L161" s="4">
        <v>672500</v>
      </c>
      <c r="M161" s="4">
        <v>134500</v>
      </c>
    </row>
    <row r="162" spans="1:13" x14ac:dyDescent="0.35">
      <c r="A162" s="3" t="s">
        <v>225</v>
      </c>
      <c r="B162" s="2" t="s">
        <v>1377</v>
      </c>
      <c r="C162">
        <v>15225000</v>
      </c>
      <c r="D162" s="19">
        <v>1087500</v>
      </c>
      <c r="E162" s="18">
        <v>16</v>
      </c>
      <c r="F162" s="18">
        <v>2</v>
      </c>
      <c r="G162" s="18">
        <v>14</v>
      </c>
      <c r="H162" s="1">
        <v>116</v>
      </c>
      <c r="I162" s="5">
        <v>15000000</v>
      </c>
      <c r="J162" s="17">
        <v>15000000</v>
      </c>
      <c r="K162" s="4">
        <v>17400000</v>
      </c>
      <c r="L162" s="4">
        <v>2400000</v>
      </c>
      <c r="M162" s="4">
        <v>2100000</v>
      </c>
    </row>
    <row r="163" spans="1:13" x14ac:dyDescent="0.35">
      <c r="A163" s="3" t="s">
        <v>747</v>
      </c>
      <c r="B163" s="2" t="s">
        <v>1485</v>
      </c>
      <c r="C163">
        <v>15225000</v>
      </c>
      <c r="D163" s="19">
        <v>1087500</v>
      </c>
      <c r="E163" s="18">
        <v>16</v>
      </c>
      <c r="F163" s="18">
        <v>2</v>
      </c>
      <c r="G163" s="18">
        <v>14</v>
      </c>
      <c r="H163" s="1">
        <v>116</v>
      </c>
      <c r="I163" s="5">
        <v>15000000</v>
      </c>
      <c r="J163" s="17">
        <v>15000000</v>
      </c>
      <c r="K163" s="4">
        <v>17400000</v>
      </c>
      <c r="L163" s="4">
        <v>2400000</v>
      </c>
      <c r="M163" s="4">
        <v>2100000</v>
      </c>
    </row>
    <row r="164" spans="1:13" x14ac:dyDescent="0.35">
      <c r="A164" s="3" t="s">
        <v>718</v>
      </c>
      <c r="B164" s="2" t="s">
        <v>1371</v>
      </c>
      <c r="C164">
        <v>15485294</v>
      </c>
      <c r="D164" s="19">
        <v>1032353</v>
      </c>
      <c r="E164" s="18">
        <v>16.999999031339087</v>
      </c>
      <c r="F164" s="18">
        <v>1.9999990313390867</v>
      </c>
      <c r="G164" s="18">
        <v>15</v>
      </c>
      <c r="H164" s="1">
        <v>116.99999903133909</v>
      </c>
      <c r="I164" s="5">
        <v>15000000.124187298</v>
      </c>
      <c r="J164" s="17">
        <v>15000000</v>
      </c>
      <c r="K164" s="4">
        <v>17550000</v>
      </c>
      <c r="L164" s="4">
        <v>2550000</v>
      </c>
      <c r="M164" s="4">
        <v>2250000.128205128</v>
      </c>
    </row>
    <row r="165" spans="1:13" x14ac:dyDescent="0.35">
      <c r="A165" s="3" t="s">
        <v>1276</v>
      </c>
      <c r="B165" s="2" t="s">
        <v>1571</v>
      </c>
      <c r="C165">
        <v>3150000</v>
      </c>
      <c r="D165" s="19">
        <v>1050000</v>
      </c>
      <c r="E165" s="18">
        <v>5</v>
      </c>
      <c r="F165" s="18">
        <v>2</v>
      </c>
      <c r="G165" s="18">
        <v>3</v>
      </c>
      <c r="H165" s="1">
        <v>105</v>
      </c>
      <c r="I165" s="5">
        <v>5000000</v>
      </c>
      <c r="J165" s="17">
        <v>5000000</v>
      </c>
      <c r="K165" s="4">
        <v>5250000</v>
      </c>
      <c r="L165" s="4">
        <v>250000</v>
      </c>
      <c r="M165" s="4">
        <v>150000</v>
      </c>
    </row>
    <row r="166" spans="1:13" x14ac:dyDescent="0.35">
      <c r="A166" s="3" t="s">
        <v>522</v>
      </c>
      <c r="B166" s="2" t="s">
        <v>1647</v>
      </c>
      <c r="C166">
        <v>4950000</v>
      </c>
      <c r="D166" s="19">
        <v>550000</v>
      </c>
      <c r="E166" s="18">
        <v>10</v>
      </c>
      <c r="F166" s="18">
        <v>1</v>
      </c>
      <c r="G166" s="18">
        <v>9</v>
      </c>
      <c r="H166" s="1">
        <v>110</v>
      </c>
      <c r="I166" s="5">
        <v>5000000</v>
      </c>
      <c r="J166" s="17">
        <v>5000000</v>
      </c>
      <c r="K166" s="4">
        <v>5500000</v>
      </c>
      <c r="L166" s="4">
        <v>500000</v>
      </c>
      <c r="M166" s="4">
        <v>450000</v>
      </c>
    </row>
    <row r="167" spans="1:13" x14ac:dyDescent="0.35">
      <c r="A167" s="3" t="s">
        <v>888</v>
      </c>
      <c r="B167" s="2" t="s">
        <v>1648</v>
      </c>
      <c r="C167">
        <v>10090909</v>
      </c>
      <c r="D167" s="19">
        <v>1009091</v>
      </c>
      <c r="E167" s="18">
        <v>10.999999009009098</v>
      </c>
      <c r="F167" s="18">
        <v>0.99999900900909822</v>
      </c>
      <c r="G167" s="18">
        <v>10</v>
      </c>
      <c r="H167" s="1">
        <v>110.9999990090091</v>
      </c>
      <c r="I167" s="5">
        <v>10000000.089278461</v>
      </c>
      <c r="J167" s="17">
        <v>10000000</v>
      </c>
      <c r="K167" s="4">
        <v>11100000</v>
      </c>
      <c r="L167" s="4">
        <v>1100000</v>
      </c>
      <c r="M167" s="4">
        <v>1000000.0900900901</v>
      </c>
    </row>
    <row r="168" spans="1:13" x14ac:dyDescent="0.35">
      <c r="A168" s="3" t="s">
        <v>1333</v>
      </c>
      <c r="B168" s="2" t="s">
        <v>1649</v>
      </c>
      <c r="C168">
        <v>4200000</v>
      </c>
      <c r="D168" s="19">
        <v>1050000</v>
      </c>
      <c r="E168" s="18">
        <v>5</v>
      </c>
      <c r="F168" s="18">
        <v>1</v>
      </c>
      <c r="G168" s="18">
        <v>4</v>
      </c>
      <c r="H168" s="1">
        <v>105</v>
      </c>
      <c r="I168" s="5">
        <v>5000000</v>
      </c>
      <c r="J168" s="17">
        <v>5000000</v>
      </c>
      <c r="K168" s="4">
        <v>5250000</v>
      </c>
      <c r="L168" s="4">
        <v>250000</v>
      </c>
      <c r="M168" s="4">
        <v>200000</v>
      </c>
    </row>
    <row r="169" spans="1:13" x14ac:dyDescent="0.35">
      <c r="A169" s="3" t="s">
        <v>923</v>
      </c>
      <c r="B169" s="2" t="s">
        <v>1650</v>
      </c>
      <c r="C169">
        <v>2650000</v>
      </c>
      <c r="D169" s="19">
        <v>530000</v>
      </c>
      <c r="E169" s="18">
        <v>6</v>
      </c>
      <c r="F169" s="18">
        <v>1</v>
      </c>
      <c r="G169" s="18">
        <v>5</v>
      </c>
      <c r="H169" s="1">
        <v>106</v>
      </c>
      <c r="I169" s="5">
        <v>3000000</v>
      </c>
      <c r="J169" s="17">
        <v>3000000</v>
      </c>
      <c r="K169" s="4">
        <v>3180000</v>
      </c>
      <c r="L169" s="4">
        <v>180000</v>
      </c>
      <c r="M169" s="4">
        <v>150000</v>
      </c>
    </row>
    <row r="170" spans="1:13" x14ac:dyDescent="0.35">
      <c r="A170" s="3" t="s">
        <v>1125</v>
      </c>
      <c r="B170" s="2" t="s">
        <v>1488</v>
      </c>
      <c r="C170">
        <v>1032352</v>
      </c>
      <c r="D170" s="19">
        <v>1032353</v>
      </c>
      <c r="E170" s="18">
        <v>12.999999031339087</v>
      </c>
      <c r="F170" s="18">
        <v>11.999999031339087</v>
      </c>
      <c r="G170" s="18">
        <v>1</v>
      </c>
      <c r="H170" s="1">
        <v>112.99999903133909</v>
      </c>
      <c r="I170" s="5">
        <v>11876626.650481628</v>
      </c>
      <c r="J170" s="17">
        <v>12000000</v>
      </c>
      <c r="K170" s="4">
        <v>13420588</v>
      </c>
      <c r="L170" s="4">
        <v>1420588</v>
      </c>
      <c r="M170" s="4">
        <v>109276.00814241522</v>
      </c>
    </row>
    <row r="171" spans="1:13" x14ac:dyDescent="0.35">
      <c r="A171" s="3" t="s">
        <v>899</v>
      </c>
      <c r="B171" s="2" t="s">
        <v>1565</v>
      </c>
      <c r="C171">
        <v>2064705</v>
      </c>
      <c r="D171" s="19">
        <v>1032353</v>
      </c>
      <c r="E171" s="18">
        <v>13.999999031339087</v>
      </c>
      <c r="F171" s="18">
        <v>11.999999031339087</v>
      </c>
      <c r="G171" s="18">
        <v>2</v>
      </c>
      <c r="H171" s="1">
        <v>113.99999903133909</v>
      </c>
      <c r="I171" s="5">
        <v>12678018.528778078</v>
      </c>
      <c r="J171" s="17">
        <v>13000000</v>
      </c>
      <c r="K171" s="4">
        <v>14452941</v>
      </c>
      <c r="L171" s="4">
        <v>1452941</v>
      </c>
      <c r="M171" s="4">
        <v>207563.0143612985</v>
      </c>
    </row>
    <row r="172" spans="1:13" x14ac:dyDescent="0.35">
      <c r="A172" s="3" t="s">
        <v>495</v>
      </c>
      <c r="B172" s="2" t="s">
        <v>1487</v>
      </c>
      <c r="C172">
        <v>725000</v>
      </c>
      <c r="D172" s="19">
        <v>725000</v>
      </c>
      <c r="E172" s="18">
        <v>13</v>
      </c>
      <c r="F172" s="18">
        <v>12</v>
      </c>
      <c r="G172" s="18">
        <v>1</v>
      </c>
      <c r="H172" s="1">
        <v>113</v>
      </c>
      <c r="I172" s="5">
        <v>8340707.9646017691</v>
      </c>
      <c r="J172" s="17">
        <v>8000000</v>
      </c>
      <c r="K172" s="4">
        <v>9425000</v>
      </c>
      <c r="L172" s="4">
        <v>1425000</v>
      </c>
      <c r="M172" s="4">
        <v>109615.38461538461</v>
      </c>
    </row>
    <row r="173" spans="1:13" x14ac:dyDescent="0.35">
      <c r="A173" s="3" t="s">
        <v>637</v>
      </c>
      <c r="B173" s="2" t="s">
        <v>1489</v>
      </c>
      <c r="C173">
        <v>10695655</v>
      </c>
      <c r="D173" s="19">
        <v>1069565</v>
      </c>
      <c r="E173" s="18">
        <v>22.000004674797697</v>
      </c>
      <c r="F173" s="18">
        <v>11.000004674797697</v>
      </c>
      <c r="G173" s="18">
        <v>11</v>
      </c>
      <c r="H173" s="1">
        <v>122.00000467479769</v>
      </c>
      <c r="I173" s="5">
        <v>19287241.064229921</v>
      </c>
      <c r="J173" s="17">
        <v>19000000</v>
      </c>
      <c r="K173" s="4">
        <v>23530435</v>
      </c>
      <c r="L173" s="4">
        <v>4530435</v>
      </c>
      <c r="M173" s="4">
        <v>2265217.0186622133</v>
      </c>
    </row>
    <row r="174" spans="1:13" x14ac:dyDescent="0.35">
      <c r="A174" s="3" t="s">
        <v>871</v>
      </c>
      <c r="B174" s="2" t="s">
        <v>1491</v>
      </c>
      <c r="C174">
        <v>2018181</v>
      </c>
      <c r="D174" s="19">
        <v>1009091</v>
      </c>
      <c r="E174" s="18">
        <v>10.999999009009098</v>
      </c>
      <c r="F174" s="18">
        <v>8.9999990090090982</v>
      </c>
      <c r="G174" s="18">
        <v>2</v>
      </c>
      <c r="H174" s="1">
        <v>110.9999990090091</v>
      </c>
      <c r="I174" s="5">
        <v>10000000.089278461</v>
      </c>
      <c r="J174" s="17">
        <v>10000000</v>
      </c>
      <c r="K174" s="4">
        <v>11100000</v>
      </c>
      <c r="L174" s="4">
        <v>1100000</v>
      </c>
      <c r="M174" s="4">
        <v>200000.01801801802</v>
      </c>
    </row>
    <row r="175" spans="1:13" x14ac:dyDescent="0.35">
      <c r="A175" s="3" t="s">
        <v>453</v>
      </c>
      <c r="B175" s="2" t="s">
        <v>1480</v>
      </c>
      <c r="C175">
        <v>1009090</v>
      </c>
      <c r="D175" s="19">
        <v>1009091</v>
      </c>
      <c r="E175" s="18">
        <v>10.999999009009098</v>
      </c>
      <c r="F175" s="18">
        <v>9.9999990090090982</v>
      </c>
      <c r="G175" s="18">
        <v>1</v>
      </c>
      <c r="H175" s="1">
        <v>110.9999990090091</v>
      </c>
      <c r="I175" s="5">
        <v>10000000.089278461</v>
      </c>
      <c r="J175" s="17">
        <v>10000000</v>
      </c>
      <c r="K175" s="4">
        <v>11100000</v>
      </c>
      <c r="L175" s="4">
        <v>1100000</v>
      </c>
      <c r="M175" s="4">
        <v>100000.00900900901</v>
      </c>
    </row>
    <row r="176" spans="1:13" x14ac:dyDescent="0.35">
      <c r="A176" s="3" t="s">
        <v>250</v>
      </c>
      <c r="B176" s="2" t="s">
        <v>1365</v>
      </c>
      <c r="C176">
        <v>6525000</v>
      </c>
      <c r="D176" s="19">
        <v>1087500</v>
      </c>
      <c r="E176" s="18">
        <v>16</v>
      </c>
      <c r="F176" s="18">
        <v>10</v>
      </c>
      <c r="G176" s="18">
        <v>6</v>
      </c>
      <c r="H176" s="1">
        <v>116</v>
      </c>
      <c r="I176" s="5">
        <v>15000000</v>
      </c>
      <c r="J176" s="17">
        <v>15000000</v>
      </c>
      <c r="K176" s="4">
        <v>17400000</v>
      </c>
      <c r="L176" s="4">
        <v>2400000</v>
      </c>
      <c r="M176" s="4">
        <v>900000</v>
      </c>
    </row>
    <row r="177" spans="1:13" x14ac:dyDescent="0.35">
      <c r="A177" s="3" t="s">
        <v>737</v>
      </c>
      <c r="B177" s="2" t="s">
        <v>1482</v>
      </c>
      <c r="C177">
        <v>6525000</v>
      </c>
      <c r="D177" s="19">
        <v>1087500</v>
      </c>
      <c r="E177" s="18">
        <v>16</v>
      </c>
      <c r="F177" s="18">
        <v>10</v>
      </c>
      <c r="G177" s="18">
        <v>6</v>
      </c>
      <c r="H177" s="1">
        <v>116</v>
      </c>
      <c r="I177" s="5">
        <v>15000000</v>
      </c>
      <c r="J177" s="17">
        <v>15000000</v>
      </c>
      <c r="K177" s="4">
        <v>17400000</v>
      </c>
      <c r="L177" s="4">
        <v>2400000</v>
      </c>
      <c r="M177" s="4">
        <v>900000</v>
      </c>
    </row>
    <row r="178" spans="1:13" ht="23" x14ac:dyDescent="0.35">
      <c r="A178" s="3" t="s">
        <v>141</v>
      </c>
      <c r="B178" s="2" t="s">
        <v>1483</v>
      </c>
      <c r="C178">
        <v>3208700</v>
      </c>
      <c r="D178" s="19">
        <v>1069565</v>
      </c>
      <c r="E178" s="18">
        <v>15.000004674797697</v>
      </c>
      <c r="F178" s="18">
        <v>11.000004674797697</v>
      </c>
      <c r="G178" s="18">
        <v>4</v>
      </c>
      <c r="H178" s="1">
        <v>115.00000467479769</v>
      </c>
      <c r="I178" s="5">
        <v>13950851.60680514</v>
      </c>
      <c r="J178" s="17">
        <v>14000000</v>
      </c>
      <c r="K178" s="4">
        <v>16043480</v>
      </c>
      <c r="L178" s="4">
        <v>2043480</v>
      </c>
      <c r="M178" s="4">
        <v>544927.83017150895</v>
      </c>
    </row>
    <row r="179" spans="1:13" x14ac:dyDescent="0.35">
      <c r="A179" s="3" t="s">
        <v>773</v>
      </c>
      <c r="B179" s="2" t="s">
        <v>1369</v>
      </c>
      <c r="C179">
        <v>4278265</v>
      </c>
      <c r="D179" s="19">
        <v>1069565</v>
      </c>
      <c r="E179" s="18">
        <v>16.000004674797697</v>
      </c>
      <c r="F179" s="18">
        <v>11.000004674797697</v>
      </c>
      <c r="G179" s="18">
        <v>5</v>
      </c>
      <c r="H179" s="1">
        <v>116.00000467479769</v>
      </c>
      <c r="I179" s="5">
        <v>14752624.405469529</v>
      </c>
      <c r="J179" s="17">
        <v>15000000</v>
      </c>
      <c r="K179" s="4">
        <v>17113045</v>
      </c>
      <c r="L179" s="4">
        <v>2113045</v>
      </c>
      <c r="M179" s="4">
        <v>660326.36956923804</v>
      </c>
    </row>
    <row r="180" spans="1:13" x14ac:dyDescent="0.35">
      <c r="A180" s="3" t="s">
        <v>771</v>
      </c>
      <c r="B180" s="2" t="s">
        <v>1375</v>
      </c>
      <c r="C180">
        <v>7233339</v>
      </c>
      <c r="D180" s="19">
        <v>1033333</v>
      </c>
      <c r="E180" s="18">
        <v>19.000007741937981</v>
      </c>
      <c r="F180" s="18">
        <v>11.000007741937981</v>
      </c>
      <c r="G180" s="18">
        <v>8</v>
      </c>
      <c r="H180" s="1">
        <v>119.00000774193798</v>
      </c>
      <c r="I180" s="5">
        <v>16498599.766965242</v>
      </c>
      <c r="J180" s="17">
        <v>16000000</v>
      </c>
      <c r="K180" s="4">
        <v>19633335</v>
      </c>
      <c r="L180" s="4">
        <v>3633335</v>
      </c>
      <c r="M180" s="4">
        <v>1529824.6397996061</v>
      </c>
    </row>
    <row r="181" spans="1:13" x14ac:dyDescent="0.35">
      <c r="A181" s="3" t="s">
        <v>584</v>
      </c>
      <c r="B181" s="2" t="s">
        <v>1373</v>
      </c>
      <c r="C181">
        <v>6417395</v>
      </c>
      <c r="D181" s="19">
        <v>1069565</v>
      </c>
      <c r="E181" s="18">
        <v>18.000004674797697</v>
      </c>
      <c r="F181" s="18">
        <v>11.000004674797697</v>
      </c>
      <c r="G181" s="18">
        <v>7</v>
      </c>
      <c r="H181" s="1">
        <v>118.00000467479769</v>
      </c>
      <c r="I181" s="5">
        <v>16315401.896006754</v>
      </c>
      <c r="J181" s="17">
        <v>16000000</v>
      </c>
      <c r="K181" s="4">
        <v>19252175</v>
      </c>
      <c r="L181" s="4">
        <v>3252175</v>
      </c>
      <c r="M181" s="4">
        <v>1264734.3937568092</v>
      </c>
    </row>
    <row r="182" spans="1:13" ht="23" x14ac:dyDescent="0.35">
      <c r="A182" s="3" t="s">
        <v>643</v>
      </c>
      <c r="B182" s="2" t="s">
        <v>1368</v>
      </c>
      <c r="C182">
        <v>11765220</v>
      </c>
      <c r="D182" s="19">
        <v>1069565</v>
      </c>
      <c r="E182" s="18">
        <v>23.000004674797697</v>
      </c>
      <c r="F182" s="18">
        <v>12.000004674797697</v>
      </c>
      <c r="G182" s="18">
        <v>11</v>
      </c>
      <c r="H182" s="1">
        <v>123.00000467479769</v>
      </c>
      <c r="I182" s="5">
        <v>19999999.239870325</v>
      </c>
      <c r="J182" s="17">
        <v>20000000</v>
      </c>
      <c r="K182" s="4">
        <v>24600000</v>
      </c>
      <c r="L182" s="4">
        <v>4600000</v>
      </c>
      <c r="M182" s="4">
        <v>2199999.5528455283</v>
      </c>
    </row>
    <row r="183" spans="1:13" x14ac:dyDescent="0.35">
      <c r="A183" s="3" t="s">
        <v>440</v>
      </c>
      <c r="B183" s="2" t="s">
        <v>1484</v>
      </c>
      <c r="C183">
        <v>21700001</v>
      </c>
      <c r="D183" s="19">
        <v>1033333</v>
      </c>
      <c r="E183" s="18">
        <v>24.000007741937981</v>
      </c>
      <c r="F183" s="18">
        <v>3.0000077419379814</v>
      </c>
      <c r="G183" s="18">
        <v>21</v>
      </c>
      <c r="H183" s="1">
        <v>124.00000774193798</v>
      </c>
      <c r="I183" s="5">
        <v>19999998.751300406</v>
      </c>
      <c r="J183" s="17">
        <v>20000000</v>
      </c>
      <c r="K183" s="4">
        <v>24800000</v>
      </c>
      <c r="L183" s="4">
        <v>4800000</v>
      </c>
      <c r="M183" s="4">
        <v>4199998.6451612907</v>
      </c>
    </row>
    <row r="184" spans="1:13" x14ac:dyDescent="0.35">
      <c r="A184" s="3" t="e">
        <v>#N/A</v>
      </c>
      <c r="B184" s="2" t="s">
        <v>1569</v>
      </c>
      <c r="C184">
        <v>3533334</v>
      </c>
      <c r="D184" s="19">
        <v>883333</v>
      </c>
      <c r="E184" s="18">
        <v>6.0000022641517976</v>
      </c>
      <c r="F184" s="18">
        <v>2.0000022641517976</v>
      </c>
      <c r="G184" s="18">
        <v>4</v>
      </c>
      <c r="H184" s="1">
        <v>106.0000022641518</v>
      </c>
      <c r="I184" s="5">
        <v>4999999.8932003891</v>
      </c>
      <c r="J184" s="17">
        <v>5000000</v>
      </c>
      <c r="K184" s="4">
        <v>5300000</v>
      </c>
      <c r="L184" s="4">
        <v>300000</v>
      </c>
      <c r="M184" s="4">
        <v>199999.9245283019</v>
      </c>
    </row>
    <row r="185" spans="1:13" x14ac:dyDescent="0.35">
      <c r="A185" s="3" t="s">
        <v>1157</v>
      </c>
      <c r="B185" s="2" t="s">
        <v>1570</v>
      </c>
      <c r="C185">
        <v>8072727</v>
      </c>
      <c r="D185" s="19">
        <v>1009091</v>
      </c>
      <c r="E185" s="18">
        <v>10.999999009009098</v>
      </c>
      <c r="F185" s="18">
        <v>2.9999990090090982</v>
      </c>
      <c r="G185" s="18">
        <v>8</v>
      </c>
      <c r="H185" s="1">
        <v>110.9999990090091</v>
      </c>
      <c r="I185" s="5">
        <v>10000000.089278461</v>
      </c>
      <c r="J185" s="17">
        <v>10000000</v>
      </c>
      <c r="K185" s="4">
        <v>11100000</v>
      </c>
      <c r="L185" s="4">
        <v>1100000</v>
      </c>
      <c r="M185" s="4">
        <v>800000.07207207207</v>
      </c>
    </row>
    <row r="186" spans="1:13" ht="23" x14ac:dyDescent="0.35">
      <c r="A186" s="3" t="s">
        <v>833</v>
      </c>
      <c r="B186" s="2" t="s">
        <v>1490</v>
      </c>
      <c r="C186">
        <v>2100000</v>
      </c>
      <c r="D186" s="19">
        <v>1050000</v>
      </c>
      <c r="E186" s="18">
        <v>5</v>
      </c>
      <c r="F186" s="18">
        <v>3</v>
      </c>
      <c r="G186" s="18">
        <v>2</v>
      </c>
      <c r="H186" s="1">
        <v>105</v>
      </c>
      <c r="I186" s="5">
        <v>5000000</v>
      </c>
      <c r="J186" s="17">
        <v>5000000</v>
      </c>
      <c r="K186" s="4">
        <v>5250000</v>
      </c>
      <c r="L186" s="4">
        <v>250000</v>
      </c>
      <c r="M186" s="4">
        <v>100000</v>
      </c>
    </row>
    <row r="187" spans="1:13" x14ac:dyDescent="0.35">
      <c r="A187" s="3" t="s">
        <v>1109</v>
      </c>
      <c r="B187" s="2" t="s">
        <v>1376</v>
      </c>
      <c r="C187">
        <v>18854545</v>
      </c>
      <c r="D187" s="19">
        <v>1109091</v>
      </c>
      <c r="E187" s="18">
        <v>21.99999819672146</v>
      </c>
      <c r="F187" s="18">
        <v>4.9999981967214602</v>
      </c>
      <c r="G187" s="18">
        <v>17</v>
      </c>
      <c r="H187" s="1">
        <v>121.99999819672146</v>
      </c>
      <c r="I187" s="5">
        <v>20000000.295619436</v>
      </c>
      <c r="J187" s="17">
        <v>20000000</v>
      </c>
      <c r="K187" s="4">
        <v>24400000</v>
      </c>
      <c r="L187" s="4">
        <v>4400000</v>
      </c>
      <c r="M187" s="4">
        <v>3400000.2786885244</v>
      </c>
    </row>
    <row r="188" spans="1:13" x14ac:dyDescent="0.35">
      <c r="A188" s="3" t="s">
        <v>39</v>
      </c>
      <c r="B188" s="2" t="s">
        <v>1372</v>
      </c>
      <c r="C188">
        <v>6054545</v>
      </c>
      <c r="D188" s="19">
        <v>1009091</v>
      </c>
      <c r="E188" s="18">
        <v>10.999999009009098</v>
      </c>
      <c r="F188" s="18">
        <v>4.9999990090090982</v>
      </c>
      <c r="G188" s="18">
        <v>6</v>
      </c>
      <c r="H188" s="1">
        <v>110.9999990090091</v>
      </c>
      <c r="I188" s="5">
        <v>10000000.089278461</v>
      </c>
      <c r="J188" s="17">
        <v>10000000</v>
      </c>
      <c r="K188" s="4">
        <v>11100000</v>
      </c>
      <c r="L188" s="4">
        <v>1100000</v>
      </c>
      <c r="M188" s="4">
        <v>600000.05405405408</v>
      </c>
    </row>
    <row r="189" spans="1:13" x14ac:dyDescent="0.35">
      <c r="A189" s="3" t="s">
        <v>487</v>
      </c>
      <c r="B189" s="2" t="s">
        <v>1374</v>
      </c>
      <c r="C189">
        <v>6533335</v>
      </c>
      <c r="D189" s="19">
        <v>933333</v>
      </c>
      <c r="E189" s="18">
        <v>12.000004285715816</v>
      </c>
      <c r="F189" s="18">
        <v>5.000004285715816</v>
      </c>
      <c r="G189" s="18">
        <v>7</v>
      </c>
      <c r="H189" s="1">
        <v>112.00000428571582</v>
      </c>
      <c r="I189" s="5">
        <v>9999999.6173468176</v>
      </c>
      <c r="J189" s="17">
        <v>10000000</v>
      </c>
      <c r="K189" s="4">
        <v>11200000</v>
      </c>
      <c r="L189" s="4">
        <v>1200000</v>
      </c>
      <c r="M189" s="4">
        <v>699999.75</v>
      </c>
    </row>
    <row r="190" spans="1:13" x14ac:dyDescent="0.35">
      <c r="A190" s="3" t="s">
        <v>325</v>
      </c>
      <c r="B190" s="2" t="s">
        <v>1558</v>
      </c>
      <c r="C190">
        <v>8700000</v>
      </c>
      <c r="D190" s="19">
        <v>1087500</v>
      </c>
      <c r="E190" s="18">
        <v>16</v>
      </c>
      <c r="F190" s="18">
        <v>8</v>
      </c>
      <c r="G190" s="18">
        <v>8</v>
      </c>
      <c r="H190" s="1">
        <v>116</v>
      </c>
      <c r="I190" s="5">
        <v>15000000</v>
      </c>
      <c r="J190" s="17">
        <v>15000000</v>
      </c>
      <c r="K190" s="4">
        <v>17400000</v>
      </c>
      <c r="L190" s="4">
        <v>2400000</v>
      </c>
      <c r="M190" s="4">
        <v>1200000</v>
      </c>
    </row>
    <row r="191" spans="1:13" x14ac:dyDescent="0.35">
      <c r="A191" s="3" t="s">
        <v>119</v>
      </c>
      <c r="B191" s="2" t="s">
        <v>1551</v>
      </c>
      <c r="C191">
        <v>16533336</v>
      </c>
      <c r="D191" s="19">
        <v>1033333</v>
      </c>
      <c r="E191" s="18">
        <v>24.000007741937981</v>
      </c>
      <c r="F191" s="18">
        <v>8.0000077419379814</v>
      </c>
      <c r="G191" s="18">
        <v>16</v>
      </c>
      <c r="H191" s="1">
        <v>124.00000774193798</v>
      </c>
      <c r="I191" s="5">
        <v>19999998.751300406</v>
      </c>
      <c r="J191" s="17">
        <v>20000000</v>
      </c>
      <c r="K191" s="4">
        <v>24800000</v>
      </c>
      <c r="L191" s="4">
        <v>4800000</v>
      </c>
      <c r="M191" s="4">
        <v>3199998.9677419355</v>
      </c>
    </row>
    <row r="192" spans="1:13" x14ac:dyDescent="0.35">
      <c r="A192" s="3" t="s">
        <v>688</v>
      </c>
      <c r="B192" s="2" t="s">
        <v>1554</v>
      </c>
      <c r="C192">
        <v>3300000</v>
      </c>
      <c r="D192" s="19">
        <v>1100000</v>
      </c>
      <c r="E192" s="18">
        <v>10</v>
      </c>
      <c r="F192" s="18">
        <v>7</v>
      </c>
      <c r="G192" s="18">
        <v>3</v>
      </c>
      <c r="H192" s="1">
        <v>110</v>
      </c>
      <c r="I192" s="5">
        <v>10000000</v>
      </c>
      <c r="J192" s="17">
        <v>10000000</v>
      </c>
      <c r="K192" s="4">
        <v>11000000</v>
      </c>
      <c r="L192" s="4">
        <v>1000000</v>
      </c>
      <c r="M192" s="4">
        <v>300000</v>
      </c>
    </row>
    <row r="193" spans="1:13" x14ac:dyDescent="0.35">
      <c r="A193" s="3" t="s">
        <v>980</v>
      </c>
      <c r="B193" s="2" t="s">
        <v>1596</v>
      </c>
      <c r="C193">
        <v>4000000</v>
      </c>
      <c r="D193" s="19">
        <v>1000000</v>
      </c>
      <c r="E193" s="18">
        <v>11</v>
      </c>
      <c r="F193" s="18">
        <v>7</v>
      </c>
      <c r="G193" s="18">
        <v>4</v>
      </c>
      <c r="H193" s="1">
        <v>111</v>
      </c>
      <c r="I193" s="5">
        <v>9909909.9099099096</v>
      </c>
      <c r="J193" s="17">
        <v>10000000</v>
      </c>
      <c r="K193" s="4">
        <v>11000000</v>
      </c>
      <c r="L193" s="4">
        <v>1000000</v>
      </c>
      <c r="M193" s="4">
        <v>363636.36363636365</v>
      </c>
    </row>
    <row r="194" spans="1:13" ht="23" x14ac:dyDescent="0.35">
      <c r="A194" s="3" t="s">
        <v>797</v>
      </c>
      <c r="B194" s="2" t="s">
        <v>1600</v>
      </c>
      <c r="C194">
        <v>10875000</v>
      </c>
      <c r="D194" s="19">
        <v>1087500</v>
      </c>
      <c r="E194" s="18">
        <v>16</v>
      </c>
      <c r="F194" s="18">
        <v>6</v>
      </c>
      <c r="G194" s="18">
        <v>10</v>
      </c>
      <c r="H194" s="1">
        <v>116</v>
      </c>
      <c r="I194" s="5">
        <v>15000000</v>
      </c>
      <c r="J194" s="17">
        <v>15000000</v>
      </c>
      <c r="K194" s="4">
        <v>17400000</v>
      </c>
      <c r="L194" s="4">
        <v>2400000</v>
      </c>
      <c r="M194" s="4">
        <v>1500000</v>
      </c>
    </row>
    <row r="195" spans="1:13" x14ac:dyDescent="0.35">
      <c r="A195" s="3" t="s">
        <v>918</v>
      </c>
      <c r="B195" s="2" t="s">
        <v>1598</v>
      </c>
      <c r="C195">
        <v>11355882</v>
      </c>
      <c r="D195" s="19">
        <v>1032353</v>
      </c>
      <c r="E195" s="18">
        <v>16.999999031339087</v>
      </c>
      <c r="F195" s="18">
        <v>5.9999990313390867</v>
      </c>
      <c r="G195" s="18">
        <v>11</v>
      </c>
      <c r="H195" s="1">
        <v>116.99999903133909</v>
      </c>
      <c r="I195" s="5">
        <v>15000000.124187298</v>
      </c>
      <c r="J195" s="17">
        <v>15000000</v>
      </c>
      <c r="K195" s="4">
        <v>17550000</v>
      </c>
      <c r="L195" s="4">
        <v>2550000</v>
      </c>
      <c r="M195" s="4">
        <v>1650000.0940170938</v>
      </c>
    </row>
    <row r="196" spans="1:13" x14ac:dyDescent="0.35">
      <c r="A196" s="3" t="s">
        <v>510</v>
      </c>
      <c r="B196" s="2" t="s">
        <v>1557</v>
      </c>
      <c r="C196">
        <v>7063636</v>
      </c>
      <c r="D196" s="19">
        <v>1009091</v>
      </c>
      <c r="E196" s="18">
        <v>10.999999009009098</v>
      </c>
      <c r="F196" s="18">
        <v>3.9999990090090982</v>
      </c>
      <c r="G196" s="18">
        <v>7</v>
      </c>
      <c r="H196" s="1">
        <v>110.9999990090091</v>
      </c>
      <c r="I196" s="5">
        <v>10000000.089278461</v>
      </c>
      <c r="J196" s="17">
        <v>10000000</v>
      </c>
      <c r="K196" s="4">
        <v>11100000</v>
      </c>
      <c r="L196" s="4">
        <v>1100000</v>
      </c>
      <c r="M196" s="4">
        <v>700000.06306306308</v>
      </c>
    </row>
    <row r="197" spans="1:13" x14ac:dyDescent="0.35">
      <c r="A197" s="3" t="s">
        <v>1073</v>
      </c>
      <c r="B197" s="2" t="s">
        <v>1599</v>
      </c>
      <c r="C197">
        <v>7063636</v>
      </c>
      <c r="D197" s="19">
        <v>1009091</v>
      </c>
      <c r="E197" s="18">
        <v>10.999999009009098</v>
      </c>
      <c r="F197" s="18">
        <v>3.9999990090090982</v>
      </c>
      <c r="G197" s="18">
        <v>7</v>
      </c>
      <c r="H197" s="1">
        <v>110.9999990090091</v>
      </c>
      <c r="I197" s="5">
        <v>10000000.089278461</v>
      </c>
      <c r="J197" s="17">
        <v>10000000</v>
      </c>
      <c r="K197" s="4">
        <v>11100000</v>
      </c>
      <c r="L197" s="4">
        <v>1100000</v>
      </c>
      <c r="M197" s="4">
        <v>700000.06306306308</v>
      </c>
    </row>
    <row r="198" spans="1:13" ht="23" x14ac:dyDescent="0.35">
      <c r="A198" s="3" t="s">
        <v>1273</v>
      </c>
      <c r="B198" s="2" t="s">
        <v>1621</v>
      </c>
      <c r="C198">
        <v>3150000</v>
      </c>
      <c r="D198" s="19">
        <v>1050000</v>
      </c>
      <c r="E198" s="18">
        <v>5</v>
      </c>
      <c r="F198" s="18">
        <v>2</v>
      </c>
      <c r="G198" s="18">
        <v>3</v>
      </c>
      <c r="H198" s="1">
        <v>105</v>
      </c>
      <c r="I198" s="5">
        <v>5000000</v>
      </c>
      <c r="J198" s="17">
        <v>5000000</v>
      </c>
      <c r="K198" s="4">
        <v>5250000</v>
      </c>
      <c r="L198" s="4">
        <v>250000</v>
      </c>
      <c r="M198" s="4">
        <v>150000</v>
      </c>
    </row>
    <row r="199" spans="1:13" x14ac:dyDescent="0.35">
      <c r="A199" s="3" t="s">
        <v>148</v>
      </c>
      <c r="B199" s="2" t="s">
        <v>1651</v>
      </c>
      <c r="C199">
        <v>16517647</v>
      </c>
      <c r="D199" s="19">
        <v>1032353</v>
      </c>
      <c r="E199" s="18">
        <v>16.999999031339087</v>
      </c>
      <c r="F199" s="18">
        <v>0.99999903133908674</v>
      </c>
      <c r="G199" s="18">
        <v>16</v>
      </c>
      <c r="H199" s="1">
        <v>116.99999903133909</v>
      </c>
      <c r="I199" s="5">
        <v>15000000.124187298</v>
      </c>
      <c r="J199" s="17">
        <v>15000000</v>
      </c>
      <c r="K199" s="4">
        <v>17550000</v>
      </c>
      <c r="L199" s="4">
        <v>2550000</v>
      </c>
      <c r="M199" s="4">
        <v>2400000.1367521365</v>
      </c>
    </row>
    <row r="200" spans="1:13" x14ac:dyDescent="0.35">
      <c r="A200" s="3" t="s">
        <v>374</v>
      </c>
      <c r="B200" s="2" t="s">
        <v>1652</v>
      </c>
      <c r="C200">
        <v>4725000</v>
      </c>
      <c r="D200" s="19">
        <v>675000</v>
      </c>
      <c r="E200" s="18">
        <v>8</v>
      </c>
      <c r="F200" s="18">
        <v>1</v>
      </c>
      <c r="G200" s="18">
        <v>7</v>
      </c>
      <c r="H200" s="1">
        <v>108</v>
      </c>
      <c r="I200" s="5">
        <v>5000000</v>
      </c>
      <c r="J200" s="17">
        <v>5000000</v>
      </c>
      <c r="K200" s="4">
        <v>5400000</v>
      </c>
      <c r="L200" s="4">
        <v>400000</v>
      </c>
      <c r="M200" s="4">
        <v>350000</v>
      </c>
    </row>
    <row r="201" spans="1:13" ht="23" x14ac:dyDescent="0.35">
      <c r="A201" s="3" t="s">
        <v>1178</v>
      </c>
      <c r="B201" s="2" t="s">
        <v>1653</v>
      </c>
      <c r="C201">
        <v>5300000</v>
      </c>
      <c r="D201" s="19">
        <v>1060000</v>
      </c>
      <c r="E201" s="18">
        <v>6</v>
      </c>
      <c r="F201" s="18">
        <v>1</v>
      </c>
      <c r="G201" s="18">
        <v>5</v>
      </c>
      <c r="H201" s="1">
        <v>106</v>
      </c>
      <c r="I201" s="5">
        <v>6000000</v>
      </c>
      <c r="J201" s="17">
        <v>6000000</v>
      </c>
      <c r="K201" s="4">
        <v>6360000</v>
      </c>
      <c r="L201" s="4">
        <v>360000</v>
      </c>
      <c r="M201" s="4">
        <v>300000</v>
      </c>
    </row>
    <row r="202" spans="1:13" ht="34.5" x14ac:dyDescent="0.35">
      <c r="A202" s="3" t="s">
        <v>400</v>
      </c>
      <c r="B202" s="2" t="s">
        <v>1553</v>
      </c>
      <c r="C202">
        <v>1503165</v>
      </c>
      <c r="D202" s="19">
        <v>375789</v>
      </c>
      <c r="E202" s="18">
        <v>16.000023949610021</v>
      </c>
      <c r="F202" s="18">
        <v>11.000023949610021</v>
      </c>
      <c r="G202" s="18">
        <v>5</v>
      </c>
      <c r="H202" s="1">
        <v>116.00002394961002</v>
      </c>
      <c r="I202" s="5">
        <v>5183303.2401888687</v>
      </c>
      <c r="J202" s="17">
        <v>5000000</v>
      </c>
      <c r="K202" s="4">
        <v>6012633</v>
      </c>
      <c r="L202" s="4">
        <v>1012633</v>
      </c>
      <c r="M202" s="4">
        <v>316447.33882560267</v>
      </c>
    </row>
    <row r="203" spans="1:13" x14ac:dyDescent="0.35">
      <c r="A203" s="3" t="s">
        <v>666</v>
      </c>
      <c r="B203" s="2" t="s">
        <v>1560</v>
      </c>
      <c r="C203">
        <v>4129411</v>
      </c>
      <c r="D203" s="19">
        <v>1032353</v>
      </c>
      <c r="E203" s="18">
        <v>15.999999031339087</v>
      </c>
      <c r="F203" s="18">
        <v>11.999999031339087</v>
      </c>
      <c r="G203" s="18">
        <v>4</v>
      </c>
      <c r="H203" s="1">
        <v>115.99999903133909</v>
      </c>
      <c r="I203" s="5">
        <v>14239350.980975024</v>
      </c>
      <c r="J203" s="17">
        <v>14000000</v>
      </c>
      <c r="K203" s="4">
        <v>16517647</v>
      </c>
      <c r="L203" s="4">
        <v>2517647</v>
      </c>
      <c r="M203" s="4">
        <v>629411.78810541239</v>
      </c>
    </row>
    <row r="204" spans="1:13" x14ac:dyDescent="0.35">
      <c r="A204" s="3" t="s">
        <v>219</v>
      </c>
      <c r="B204" s="2" t="s">
        <v>1550</v>
      </c>
      <c r="C204">
        <v>14973915</v>
      </c>
      <c r="D204" s="19">
        <v>1069565</v>
      </c>
      <c r="E204" s="18">
        <v>23.000004674797697</v>
      </c>
      <c r="F204" s="18">
        <v>9.0000046747976974</v>
      </c>
      <c r="G204" s="18">
        <v>14</v>
      </c>
      <c r="H204" s="1">
        <v>123.00000467479769</v>
      </c>
      <c r="I204" s="5">
        <v>19999999.239870325</v>
      </c>
      <c r="J204" s="17">
        <v>20000000</v>
      </c>
      <c r="K204" s="4">
        <v>24600000</v>
      </c>
      <c r="L204" s="4">
        <v>4600000</v>
      </c>
      <c r="M204" s="4">
        <v>2799999.4308943087</v>
      </c>
    </row>
    <row r="205" spans="1:13" ht="23" x14ac:dyDescent="0.35">
      <c r="A205" s="3" t="s">
        <v>463</v>
      </c>
      <c r="B205" s="2" t="s">
        <v>1594</v>
      </c>
      <c r="C205">
        <v>8258823</v>
      </c>
      <c r="D205" s="19">
        <v>1032353</v>
      </c>
      <c r="E205" s="18">
        <v>16.999999031339087</v>
      </c>
      <c r="F205" s="18">
        <v>8.9999990313390867</v>
      </c>
      <c r="G205" s="18">
        <v>8</v>
      </c>
      <c r="H205" s="1">
        <v>116.99999903133909</v>
      </c>
      <c r="I205" s="5">
        <v>15000000.124187298</v>
      </c>
      <c r="J205" s="17">
        <v>15000000</v>
      </c>
      <c r="K205" s="4">
        <v>17550000</v>
      </c>
      <c r="L205" s="4">
        <v>2550000</v>
      </c>
      <c r="M205" s="4">
        <v>1200000.0683760683</v>
      </c>
    </row>
    <row r="206" spans="1:13" x14ac:dyDescent="0.35">
      <c r="A206" s="3" t="s">
        <v>592</v>
      </c>
      <c r="B206" s="2" t="s">
        <v>1548</v>
      </c>
      <c r="C206">
        <v>2018181</v>
      </c>
      <c r="D206" s="19">
        <v>1009091</v>
      </c>
      <c r="E206" s="18">
        <v>10.999999009009098</v>
      </c>
      <c r="F206" s="18">
        <v>8.9999990090090982</v>
      </c>
      <c r="G206" s="18">
        <v>2</v>
      </c>
      <c r="H206" s="1">
        <v>110.9999990090091</v>
      </c>
      <c r="I206" s="5">
        <v>10000000.089278461</v>
      </c>
      <c r="J206" s="17">
        <v>10000000</v>
      </c>
      <c r="K206" s="4">
        <v>11100000</v>
      </c>
      <c r="L206" s="4">
        <v>1100000</v>
      </c>
      <c r="M206" s="4">
        <v>200000.01801801802</v>
      </c>
    </row>
    <row r="207" spans="1:13" ht="34.5" x14ac:dyDescent="0.35">
      <c r="A207" s="3" t="s">
        <v>400</v>
      </c>
      <c r="B207" s="2" t="s">
        <v>1553</v>
      </c>
      <c r="C207">
        <v>6417387</v>
      </c>
      <c r="D207" s="19">
        <v>534783</v>
      </c>
      <c r="E207" s="18">
        <v>22.99998317074402</v>
      </c>
      <c r="F207" s="18">
        <v>10.99998317074402</v>
      </c>
      <c r="G207" s="18">
        <v>12</v>
      </c>
      <c r="H207" s="1">
        <v>122.99998317074402</v>
      </c>
      <c r="I207" s="5">
        <v>10000001.368232381</v>
      </c>
      <c r="J207" s="17">
        <v>10000000</v>
      </c>
      <c r="K207" s="4">
        <v>12300000</v>
      </c>
      <c r="L207" s="4">
        <v>2300000</v>
      </c>
      <c r="M207" s="4">
        <v>1200000.8780487806</v>
      </c>
    </row>
    <row r="208" spans="1:13" x14ac:dyDescent="0.35">
      <c r="A208" s="3" t="s">
        <v>276</v>
      </c>
      <c r="B208" s="2" t="s">
        <v>1556</v>
      </c>
      <c r="C208">
        <v>13904350</v>
      </c>
      <c r="D208" s="19">
        <v>1069565</v>
      </c>
      <c r="E208" s="18">
        <v>23.000004674797697</v>
      </c>
      <c r="F208" s="18">
        <v>10.000004674797697</v>
      </c>
      <c r="G208" s="18">
        <v>13</v>
      </c>
      <c r="H208" s="1">
        <v>123.00000467479769</v>
      </c>
      <c r="I208" s="5">
        <v>19999999.239870325</v>
      </c>
      <c r="J208" s="17">
        <v>20000000</v>
      </c>
      <c r="K208" s="4">
        <v>24600000</v>
      </c>
      <c r="L208" s="4">
        <v>4600000</v>
      </c>
      <c r="M208" s="4">
        <v>2599999.4715447156</v>
      </c>
    </row>
    <row r="209" spans="1:13" x14ac:dyDescent="0.35">
      <c r="A209" s="3" t="s">
        <v>244</v>
      </c>
      <c r="B209" s="2" t="s">
        <v>1592</v>
      </c>
      <c r="C209">
        <v>13904350</v>
      </c>
      <c r="D209" s="19">
        <v>1069565</v>
      </c>
      <c r="E209" s="18">
        <v>23.000004674797697</v>
      </c>
      <c r="F209" s="18">
        <v>10.000004674797697</v>
      </c>
      <c r="G209" s="18">
        <v>13</v>
      </c>
      <c r="H209" s="1">
        <v>123.00000467479769</v>
      </c>
      <c r="I209" s="5">
        <v>19999999.239870325</v>
      </c>
      <c r="J209" s="17">
        <v>20000000</v>
      </c>
      <c r="K209" s="4">
        <v>24600000</v>
      </c>
      <c r="L209" s="4">
        <v>4600000</v>
      </c>
      <c r="M209" s="4">
        <v>2599999.4715447156</v>
      </c>
    </row>
    <row r="210" spans="1:13" x14ac:dyDescent="0.35">
      <c r="A210" s="3" t="s">
        <v>3</v>
      </c>
      <c r="B210" s="2" t="s">
        <v>1591</v>
      </c>
      <c r="C210">
        <v>2018181</v>
      </c>
      <c r="D210" s="19">
        <v>1009091</v>
      </c>
      <c r="E210" s="18">
        <v>10.999999009009098</v>
      </c>
      <c r="F210" s="18">
        <v>8.9999990090090982</v>
      </c>
      <c r="G210" s="18">
        <v>2</v>
      </c>
      <c r="H210" s="1">
        <v>110.9999990090091</v>
      </c>
      <c r="I210" s="5">
        <v>10000000.089278461</v>
      </c>
      <c r="J210" s="17">
        <v>10000000</v>
      </c>
      <c r="K210" s="4">
        <v>11100000</v>
      </c>
      <c r="L210" s="4">
        <v>1100000</v>
      </c>
      <c r="M210" s="4">
        <v>200000.01801801802</v>
      </c>
    </row>
    <row r="211" spans="1:13" x14ac:dyDescent="0.35">
      <c r="A211" s="3" t="s">
        <v>16</v>
      </c>
      <c r="B211" s="2" t="s">
        <v>1593</v>
      </c>
      <c r="C211">
        <v>1069570</v>
      </c>
      <c r="D211" s="19">
        <v>1069565</v>
      </c>
      <c r="E211" s="18">
        <v>13.000004674797697</v>
      </c>
      <c r="F211" s="18">
        <v>11.000004674797697</v>
      </c>
      <c r="G211" s="18">
        <v>2</v>
      </c>
      <c r="H211" s="1">
        <v>113.00000467479769</v>
      </c>
      <c r="I211" s="5">
        <v>12304734.00422883</v>
      </c>
      <c r="J211" s="17">
        <v>12000000</v>
      </c>
      <c r="K211" s="4">
        <v>13904350</v>
      </c>
      <c r="L211" s="4">
        <v>1904350</v>
      </c>
      <c r="M211" s="4">
        <v>292976.8177225113</v>
      </c>
    </row>
    <row r="212" spans="1:13" x14ac:dyDescent="0.35">
      <c r="A212" s="3" t="s">
        <v>415</v>
      </c>
      <c r="B212" s="2" t="s">
        <v>1559</v>
      </c>
      <c r="C212">
        <v>1069570</v>
      </c>
      <c r="D212" s="19">
        <v>1069565</v>
      </c>
      <c r="E212" s="18">
        <v>13.000004674797697</v>
      </c>
      <c r="F212" s="18">
        <v>11.000004674797697</v>
      </c>
      <c r="G212" s="18">
        <v>2</v>
      </c>
      <c r="H212" s="1">
        <v>113.00000467479769</v>
      </c>
      <c r="I212" s="5">
        <v>12304734.00422883</v>
      </c>
      <c r="J212" s="17">
        <v>12000000</v>
      </c>
      <c r="K212" s="4">
        <v>13904350</v>
      </c>
      <c r="L212" s="4">
        <v>1904350</v>
      </c>
      <c r="M212" s="4">
        <v>292976.8177225113</v>
      </c>
    </row>
    <row r="213" spans="1:13" x14ac:dyDescent="0.35">
      <c r="A213" s="3" t="s">
        <v>624</v>
      </c>
      <c r="B213" s="2" t="s">
        <v>1555</v>
      </c>
      <c r="C213">
        <v>2139135</v>
      </c>
      <c r="D213" s="19">
        <v>1069565</v>
      </c>
      <c r="E213" s="18">
        <v>14.000004674797697</v>
      </c>
      <c r="F213" s="18">
        <v>11.000004674797697</v>
      </c>
      <c r="G213" s="18">
        <v>3</v>
      </c>
      <c r="H213" s="1">
        <v>114.00000467479769</v>
      </c>
      <c r="I213" s="5">
        <v>13135012.619267311</v>
      </c>
      <c r="J213" s="17">
        <v>13000000</v>
      </c>
      <c r="K213" s="4">
        <v>14973915</v>
      </c>
      <c r="L213" s="4">
        <v>1973915</v>
      </c>
      <c r="M213" s="4">
        <v>422981.64447474165</v>
      </c>
    </row>
    <row r="214" spans="1:13" x14ac:dyDescent="0.35">
      <c r="A214" s="3" t="s">
        <v>405</v>
      </c>
      <c r="B214" s="2" t="s">
        <v>1552</v>
      </c>
      <c r="C214">
        <v>8000000</v>
      </c>
      <c r="D214" s="19">
        <v>1000000</v>
      </c>
      <c r="E214" s="18">
        <v>20</v>
      </c>
      <c r="F214" s="18">
        <v>12</v>
      </c>
      <c r="G214" s="18">
        <v>8</v>
      </c>
      <c r="H214" s="1">
        <v>120</v>
      </c>
      <c r="I214" s="5">
        <v>16666666.666666666</v>
      </c>
      <c r="J214" s="17">
        <v>17000000</v>
      </c>
      <c r="K214" s="4">
        <v>20000000</v>
      </c>
      <c r="L214" s="4">
        <v>3000000</v>
      </c>
      <c r="M214" s="4">
        <v>1200000</v>
      </c>
    </row>
    <row r="215" spans="1:13" ht="34.5" x14ac:dyDescent="0.35">
      <c r="A215" s="3" t="s">
        <v>400</v>
      </c>
      <c r="B215" s="2" t="s">
        <v>1553</v>
      </c>
      <c r="C215">
        <v>831812</v>
      </c>
      <c r="D215" s="19">
        <v>166364</v>
      </c>
      <c r="E215" s="18">
        <v>16.999951912673414</v>
      </c>
      <c r="F215" s="18">
        <v>11.999951912673414</v>
      </c>
      <c r="G215" s="18">
        <v>5</v>
      </c>
      <c r="H215" s="1">
        <v>116.99995191267341</v>
      </c>
      <c r="I215" s="5">
        <v>2417248.8567438908</v>
      </c>
      <c r="J215" s="17">
        <v>2000000</v>
      </c>
      <c r="K215" s="4">
        <v>2828180</v>
      </c>
      <c r="L215" s="4">
        <v>828180</v>
      </c>
      <c r="M215" s="4">
        <v>243583.04195631115</v>
      </c>
    </row>
    <row r="216" spans="1:13" x14ac:dyDescent="0.35">
      <c r="A216" s="3" t="s">
        <v>180</v>
      </c>
      <c r="B216" s="2" t="s">
        <v>1590</v>
      </c>
      <c r="C216">
        <v>5400000</v>
      </c>
      <c r="D216" s="19">
        <v>1080000</v>
      </c>
      <c r="E216" s="18">
        <v>8</v>
      </c>
      <c r="F216" s="18">
        <v>3</v>
      </c>
      <c r="G216" s="18">
        <v>5</v>
      </c>
      <c r="H216" s="1">
        <v>108</v>
      </c>
      <c r="I216" s="5">
        <v>8000000</v>
      </c>
      <c r="J216" s="17">
        <v>8000000</v>
      </c>
      <c r="K216" s="4">
        <v>8640000</v>
      </c>
      <c r="L216" s="4">
        <v>640000</v>
      </c>
      <c r="M216" s="4">
        <v>400000</v>
      </c>
    </row>
    <row r="217" spans="1:13" ht="34.5" x14ac:dyDescent="0.35">
      <c r="A217" s="3" t="s">
        <v>1043</v>
      </c>
      <c r="B217" s="2" t="s">
        <v>1597</v>
      </c>
      <c r="C217">
        <v>2100000</v>
      </c>
      <c r="D217" s="19">
        <v>1050000</v>
      </c>
      <c r="E217" s="18">
        <v>5</v>
      </c>
      <c r="F217" s="18">
        <v>3</v>
      </c>
      <c r="G217" s="18">
        <v>2</v>
      </c>
      <c r="H217" s="1">
        <v>105</v>
      </c>
      <c r="I217" s="5">
        <v>5000000</v>
      </c>
      <c r="J217" s="17">
        <v>5000000</v>
      </c>
      <c r="K217" s="4">
        <v>5250000</v>
      </c>
      <c r="L217" s="4">
        <v>250000</v>
      </c>
      <c r="M217" s="4">
        <v>100000</v>
      </c>
    </row>
    <row r="218" spans="1:13" x14ac:dyDescent="0.35">
      <c r="A218" s="3" t="s">
        <v>437</v>
      </c>
      <c r="B218" s="2" t="s">
        <v>1595</v>
      </c>
      <c r="C218">
        <v>2750000</v>
      </c>
      <c r="D218" s="19">
        <v>550000</v>
      </c>
      <c r="E218" s="18">
        <v>10</v>
      </c>
      <c r="F218" s="18">
        <v>5</v>
      </c>
      <c r="G218" s="18">
        <v>5</v>
      </c>
      <c r="H218" s="1">
        <v>110</v>
      </c>
      <c r="I218" s="5">
        <v>5000000</v>
      </c>
      <c r="J218" s="17">
        <v>5000000</v>
      </c>
      <c r="K218" s="4">
        <v>5500000</v>
      </c>
      <c r="L218" s="4">
        <v>500000</v>
      </c>
      <c r="M218" s="4">
        <v>250000</v>
      </c>
    </row>
    <row r="219" spans="1:13" x14ac:dyDescent="0.35">
      <c r="A219" s="3" t="s">
        <v>786</v>
      </c>
      <c r="B219" s="2" t="s">
        <v>1549</v>
      </c>
      <c r="C219">
        <v>19633335</v>
      </c>
      <c r="D219" s="19">
        <v>1033333</v>
      </c>
      <c r="E219" s="18">
        <v>24.000007741937981</v>
      </c>
      <c r="F219" s="18">
        <v>5.0000077419379814</v>
      </c>
      <c r="G219" s="18">
        <v>19</v>
      </c>
      <c r="H219" s="1">
        <v>124.00000774193798</v>
      </c>
      <c r="I219" s="5">
        <v>19999998.751300406</v>
      </c>
      <c r="J219" s="17">
        <v>20000000</v>
      </c>
      <c r="K219" s="4">
        <v>24800000</v>
      </c>
      <c r="L219" s="4">
        <v>4800000</v>
      </c>
      <c r="M219" s="4">
        <v>3799998.7741935486</v>
      </c>
    </row>
    <row r="220" spans="1:13" x14ac:dyDescent="0.35">
      <c r="A220" s="3" t="s">
        <v>348</v>
      </c>
      <c r="B220" s="2" t="s">
        <v>1654</v>
      </c>
      <c r="C220">
        <v>10266667</v>
      </c>
      <c r="D220" s="19">
        <v>933333</v>
      </c>
      <c r="E220" s="18">
        <v>12.000004285715816</v>
      </c>
      <c r="F220" s="18">
        <v>1.000004285715816</v>
      </c>
      <c r="G220" s="18">
        <v>11</v>
      </c>
      <c r="H220" s="1">
        <v>112.00000428571582</v>
      </c>
      <c r="I220" s="5">
        <v>9999999.6173468176</v>
      </c>
      <c r="J220" s="17">
        <v>10000000</v>
      </c>
      <c r="K220" s="4">
        <v>11200000</v>
      </c>
      <c r="L220" s="4">
        <v>1200000</v>
      </c>
      <c r="M220" s="4">
        <v>1099999.6071428573</v>
      </c>
    </row>
    <row r="221" spans="1:13" x14ac:dyDescent="0.35">
      <c r="A221" s="3" t="s">
        <v>507</v>
      </c>
      <c r="B221" s="2" t="s">
        <v>1533</v>
      </c>
      <c r="C221">
        <v>8266672</v>
      </c>
      <c r="D221" s="19">
        <v>1033333</v>
      </c>
      <c r="E221" s="18">
        <v>20.000007741937981</v>
      </c>
      <c r="F221" s="18">
        <v>11.000007741937981</v>
      </c>
      <c r="G221" s="18">
        <v>9</v>
      </c>
      <c r="H221" s="1">
        <v>120.00000774193798</v>
      </c>
      <c r="I221" s="5">
        <v>17222222.222221863</v>
      </c>
      <c r="J221" s="17">
        <v>17000000</v>
      </c>
      <c r="K221" s="4">
        <v>20666668</v>
      </c>
      <c r="L221" s="4">
        <v>3666668</v>
      </c>
      <c r="M221" s="4">
        <v>1649999.9612901313</v>
      </c>
    </row>
    <row r="222" spans="1:13" x14ac:dyDescent="0.35">
      <c r="A222" s="3" t="s">
        <v>43</v>
      </c>
      <c r="B222" s="2" t="s">
        <v>1545</v>
      </c>
      <c r="C222">
        <v>4990912</v>
      </c>
      <c r="D222" s="19">
        <v>831818</v>
      </c>
      <c r="E222" s="18">
        <v>18.000004808744219</v>
      </c>
      <c r="F222" s="18">
        <v>11.000004808744219</v>
      </c>
      <c r="G222" s="18">
        <v>7</v>
      </c>
      <c r="H222" s="1">
        <v>118.00000480874422</v>
      </c>
      <c r="I222" s="5">
        <v>12688752.025279973</v>
      </c>
      <c r="J222" s="17">
        <v>13000000</v>
      </c>
      <c r="K222" s="4">
        <v>14972727.999999998</v>
      </c>
      <c r="L222" s="4">
        <v>1972727.9999999981</v>
      </c>
      <c r="M222" s="4">
        <v>767171.79504816968</v>
      </c>
    </row>
    <row r="223" spans="1:13" x14ac:dyDescent="0.35">
      <c r="A223" s="3" t="s">
        <v>70</v>
      </c>
      <c r="B223" s="2" t="s">
        <v>1574</v>
      </c>
      <c r="C223">
        <v>12834785</v>
      </c>
      <c r="D223" s="19">
        <v>1069565</v>
      </c>
      <c r="E223" s="18">
        <v>23.000004674797697</v>
      </c>
      <c r="F223" s="18">
        <v>11.000004674797697</v>
      </c>
      <c r="G223" s="18">
        <v>12</v>
      </c>
      <c r="H223" s="1">
        <v>123.00000467479769</v>
      </c>
      <c r="I223" s="5">
        <v>19999999.239870325</v>
      </c>
      <c r="J223" s="17">
        <v>20000000</v>
      </c>
      <c r="K223" s="4">
        <v>24600000</v>
      </c>
      <c r="L223" s="4">
        <v>4600000</v>
      </c>
      <c r="M223" s="4">
        <v>2399999.512195122</v>
      </c>
    </row>
    <row r="224" spans="1:13" x14ac:dyDescent="0.35">
      <c r="A224" s="3" t="s">
        <v>1100</v>
      </c>
      <c r="B224" s="2" t="s">
        <v>1535</v>
      </c>
      <c r="C224">
        <v>12834785</v>
      </c>
      <c r="D224" s="19">
        <v>1069565</v>
      </c>
      <c r="E224" s="18">
        <v>23.000004674797697</v>
      </c>
      <c r="F224" s="18">
        <v>11.000004674797697</v>
      </c>
      <c r="G224" s="18">
        <v>12</v>
      </c>
      <c r="H224" s="1">
        <v>123.00000467479769</v>
      </c>
      <c r="I224" s="5">
        <v>19999999.239870325</v>
      </c>
      <c r="J224" s="17">
        <v>20000000</v>
      </c>
      <c r="K224" s="4">
        <v>24600000</v>
      </c>
      <c r="L224" s="4">
        <v>4600000</v>
      </c>
      <c r="M224" s="4">
        <v>2399999.512195122</v>
      </c>
    </row>
    <row r="225" spans="1:13" ht="23" x14ac:dyDescent="0.35">
      <c r="A225" s="3" t="s">
        <v>896</v>
      </c>
      <c r="B225" s="2" t="s">
        <v>1601</v>
      </c>
      <c r="C225">
        <v>7866670</v>
      </c>
      <c r="D225" s="19">
        <v>983333</v>
      </c>
      <c r="E225" s="18">
        <v>18.000006101696982</v>
      </c>
      <c r="F225" s="18">
        <v>10.000006101696982</v>
      </c>
      <c r="G225" s="18">
        <v>8</v>
      </c>
      <c r="H225" s="1">
        <v>118.00000610169698</v>
      </c>
      <c r="I225" s="5">
        <v>14999999.224360593</v>
      </c>
      <c r="J225" s="17">
        <v>15000000</v>
      </c>
      <c r="K225" s="4">
        <v>17700000</v>
      </c>
      <c r="L225" s="4">
        <v>2700000</v>
      </c>
      <c r="M225" s="4">
        <v>1199999.5932203392</v>
      </c>
    </row>
    <row r="226" spans="1:13" x14ac:dyDescent="0.35">
      <c r="A226" s="3" t="s">
        <v>517</v>
      </c>
      <c r="B226" s="2" t="s">
        <v>1582</v>
      </c>
      <c r="C226">
        <v>1009090</v>
      </c>
      <c r="D226" s="19">
        <v>1009091</v>
      </c>
      <c r="E226" s="18">
        <v>10.999999009009098</v>
      </c>
      <c r="F226" s="18">
        <v>9.9999990090090982</v>
      </c>
      <c r="G226" s="18">
        <v>1</v>
      </c>
      <c r="H226" s="1">
        <v>110.9999990090091</v>
      </c>
      <c r="I226" s="5">
        <v>10000000.089278461</v>
      </c>
      <c r="J226" s="17">
        <v>10000000</v>
      </c>
      <c r="K226" s="4">
        <v>11100000</v>
      </c>
      <c r="L226" s="4">
        <v>1100000</v>
      </c>
      <c r="M226" s="4">
        <v>100000.00900900901</v>
      </c>
    </row>
    <row r="227" spans="1:13" x14ac:dyDescent="0.35">
      <c r="A227" s="3" t="s">
        <v>1251</v>
      </c>
      <c r="B227" s="2" t="s">
        <v>1606</v>
      </c>
      <c r="C227">
        <v>770000</v>
      </c>
      <c r="D227" s="19">
        <v>770000</v>
      </c>
      <c r="E227" s="18">
        <v>10</v>
      </c>
      <c r="F227" s="18">
        <v>9</v>
      </c>
      <c r="G227" s="18">
        <v>1</v>
      </c>
      <c r="H227" s="1">
        <v>110</v>
      </c>
      <c r="I227" s="5">
        <v>7000000</v>
      </c>
      <c r="J227" s="17">
        <v>7000000</v>
      </c>
      <c r="K227" s="4">
        <v>7700000</v>
      </c>
      <c r="L227" s="4">
        <v>700000</v>
      </c>
      <c r="M227" s="4">
        <v>70000</v>
      </c>
    </row>
    <row r="228" spans="1:13" x14ac:dyDescent="0.35">
      <c r="A228" s="3" t="s">
        <v>112</v>
      </c>
      <c r="B228" s="2" t="s">
        <v>1540</v>
      </c>
      <c r="C228">
        <v>2200000</v>
      </c>
      <c r="D228" s="19">
        <v>1100000</v>
      </c>
      <c r="E228" s="18">
        <v>10</v>
      </c>
      <c r="F228" s="18">
        <v>8</v>
      </c>
      <c r="G228" s="18">
        <v>2</v>
      </c>
      <c r="H228" s="1">
        <v>110</v>
      </c>
      <c r="I228" s="5">
        <v>10000000</v>
      </c>
      <c r="J228" s="17">
        <v>10000000</v>
      </c>
      <c r="K228" s="4">
        <v>11000000</v>
      </c>
      <c r="L228" s="4">
        <v>1000000</v>
      </c>
      <c r="M228" s="4">
        <v>200000</v>
      </c>
    </row>
    <row r="229" spans="1:13" x14ac:dyDescent="0.35">
      <c r="A229" s="3" t="s">
        <v>1214</v>
      </c>
      <c r="B229" s="2" t="s">
        <v>1605</v>
      </c>
      <c r="C229">
        <v>2200000</v>
      </c>
      <c r="D229" s="19">
        <v>1100000</v>
      </c>
      <c r="E229" s="18">
        <v>10</v>
      </c>
      <c r="F229" s="18">
        <v>8</v>
      </c>
      <c r="G229" s="18">
        <v>2</v>
      </c>
      <c r="H229" s="1">
        <v>110</v>
      </c>
      <c r="I229" s="5">
        <v>10000000</v>
      </c>
      <c r="J229" s="17">
        <v>10000000</v>
      </c>
      <c r="K229" s="4">
        <v>11000000</v>
      </c>
      <c r="L229" s="4">
        <v>1000000</v>
      </c>
      <c r="M229" s="4">
        <v>200000</v>
      </c>
    </row>
    <row r="230" spans="1:13" x14ac:dyDescent="0.35">
      <c r="A230" s="3" t="s">
        <v>663</v>
      </c>
      <c r="B230" s="2" t="s">
        <v>1585</v>
      </c>
      <c r="C230">
        <v>3027272</v>
      </c>
      <c r="D230" s="19">
        <v>1009091</v>
      </c>
      <c r="E230" s="18">
        <v>10.999999009009098</v>
      </c>
      <c r="F230" s="18">
        <v>7.9999990090090982</v>
      </c>
      <c r="G230" s="18">
        <v>3</v>
      </c>
      <c r="H230" s="1">
        <v>110.9999990090091</v>
      </c>
      <c r="I230" s="5">
        <v>10000000.089278461</v>
      </c>
      <c r="J230" s="17">
        <v>10000000</v>
      </c>
      <c r="K230" s="4">
        <v>11100000</v>
      </c>
      <c r="L230" s="4">
        <v>1100000</v>
      </c>
      <c r="M230" s="4">
        <v>300000.02702702704</v>
      </c>
    </row>
    <row r="231" spans="1:13" x14ac:dyDescent="0.35">
      <c r="A231" s="3" t="s">
        <v>1106</v>
      </c>
      <c r="B231" s="2" t="s">
        <v>1538</v>
      </c>
      <c r="C231">
        <v>8</v>
      </c>
      <c r="D231" s="19">
        <v>1033333</v>
      </c>
      <c r="E231" s="18">
        <v>12.000007741937981</v>
      </c>
      <c r="F231" s="18">
        <v>11.000007741937981</v>
      </c>
      <c r="G231" s="18">
        <v>1</v>
      </c>
      <c r="H231" s="1">
        <v>112.00000774193798</v>
      </c>
      <c r="I231" s="5">
        <v>11071431.37755058</v>
      </c>
      <c r="J231" s="17">
        <v>11000000</v>
      </c>
      <c r="K231" s="4">
        <v>12400004</v>
      </c>
      <c r="L231" s="4">
        <v>1400004</v>
      </c>
      <c r="M231" s="4">
        <v>116666.92473099202</v>
      </c>
    </row>
    <row r="232" spans="1:13" x14ac:dyDescent="0.35">
      <c r="A232" s="3" t="s">
        <v>1104</v>
      </c>
      <c r="B232" s="2" t="s">
        <v>1536</v>
      </c>
      <c r="C232">
        <v>1069570</v>
      </c>
      <c r="D232" s="19">
        <v>1069565</v>
      </c>
      <c r="E232" s="18">
        <v>13.000004674797697</v>
      </c>
      <c r="F232" s="18">
        <v>11.000004674797697</v>
      </c>
      <c r="G232" s="18">
        <v>2</v>
      </c>
      <c r="H232" s="1">
        <v>113.00000467479769</v>
      </c>
      <c r="I232" s="5">
        <v>12304734.00422883</v>
      </c>
      <c r="J232" s="17">
        <v>12000000</v>
      </c>
      <c r="K232" s="4">
        <v>13904350</v>
      </c>
      <c r="L232" s="4">
        <v>1904350</v>
      </c>
      <c r="M232" s="4">
        <v>292976.8177225113</v>
      </c>
    </row>
    <row r="233" spans="1:13" ht="23" x14ac:dyDescent="0.35">
      <c r="A233" s="3" t="s">
        <v>469</v>
      </c>
      <c r="B233" s="2" t="s">
        <v>1573</v>
      </c>
      <c r="C233">
        <v>1069570</v>
      </c>
      <c r="D233" s="19">
        <v>1069565</v>
      </c>
      <c r="E233" s="18">
        <v>13.000004674797697</v>
      </c>
      <c r="F233" s="18">
        <v>11.000004674797697</v>
      </c>
      <c r="G233" s="18">
        <v>2</v>
      </c>
      <c r="H233" s="1">
        <v>113.00000467479769</v>
      </c>
      <c r="I233" s="5">
        <v>12304734.00422883</v>
      </c>
      <c r="J233" s="17">
        <v>12000000</v>
      </c>
      <c r="K233" s="4">
        <v>13904350</v>
      </c>
      <c r="L233" s="4">
        <v>1904350</v>
      </c>
      <c r="M233" s="4">
        <v>292976.8177225113</v>
      </c>
    </row>
    <row r="234" spans="1:13" x14ac:dyDescent="0.35">
      <c r="A234" s="3" t="s">
        <v>1111</v>
      </c>
      <c r="B234" s="2" t="s">
        <v>1541</v>
      </c>
      <c r="C234">
        <v>2139135</v>
      </c>
      <c r="D234" s="19">
        <v>1069565</v>
      </c>
      <c r="E234" s="18">
        <v>14.000004674797697</v>
      </c>
      <c r="F234" s="18">
        <v>11.000004674797697</v>
      </c>
      <c r="G234" s="18">
        <v>3</v>
      </c>
      <c r="H234" s="1">
        <v>114.00000467479769</v>
      </c>
      <c r="I234" s="5">
        <v>13135012.619267311</v>
      </c>
      <c r="J234" s="17">
        <v>13000000</v>
      </c>
      <c r="K234" s="4">
        <v>14973915</v>
      </c>
      <c r="L234" s="4">
        <v>1973915</v>
      </c>
      <c r="M234" s="4">
        <v>422981.64447474165</v>
      </c>
    </row>
    <row r="235" spans="1:13" ht="23" x14ac:dyDescent="0.35">
      <c r="A235" s="3" t="s">
        <v>104</v>
      </c>
      <c r="B235" s="2" t="s">
        <v>1579</v>
      </c>
      <c r="C235">
        <v>3875000</v>
      </c>
      <c r="D235" s="19">
        <v>775000</v>
      </c>
      <c r="E235" s="18">
        <v>17</v>
      </c>
      <c r="F235" s="18">
        <v>12</v>
      </c>
      <c r="G235" s="18">
        <v>5</v>
      </c>
      <c r="H235" s="1">
        <v>117</v>
      </c>
      <c r="I235" s="5">
        <v>11260683.76068376</v>
      </c>
      <c r="J235" s="17">
        <v>11000000</v>
      </c>
      <c r="K235" s="4">
        <v>13175000</v>
      </c>
      <c r="L235" s="4">
        <v>2175000</v>
      </c>
      <c r="M235" s="4">
        <v>639705.8823529412</v>
      </c>
    </row>
    <row r="236" spans="1:13" ht="23" x14ac:dyDescent="0.35">
      <c r="A236" s="3" t="s">
        <v>434</v>
      </c>
      <c r="B236" s="2" t="s">
        <v>1603</v>
      </c>
      <c r="C236">
        <v>5347830</v>
      </c>
      <c r="D236" s="19">
        <v>1069565</v>
      </c>
      <c r="E236" s="18">
        <v>17.000004674797697</v>
      </c>
      <c r="F236" s="18">
        <v>11.000004674797697</v>
      </c>
      <c r="G236" s="18">
        <v>6</v>
      </c>
      <c r="H236" s="1">
        <v>117.00000467479769</v>
      </c>
      <c r="I236" s="5">
        <v>15540691.686755642</v>
      </c>
      <c r="J236" s="17">
        <v>16000000</v>
      </c>
      <c r="K236" s="4">
        <v>18182610</v>
      </c>
      <c r="L236" s="4">
        <v>2182610</v>
      </c>
      <c r="M236" s="4">
        <v>770332.72934413713</v>
      </c>
    </row>
    <row r="237" spans="1:13" x14ac:dyDescent="0.35">
      <c r="A237" s="3" t="s">
        <v>604</v>
      </c>
      <c r="B237" s="2" t="s">
        <v>1539</v>
      </c>
      <c r="C237">
        <v>7486960</v>
      </c>
      <c r="D237" s="19">
        <v>1069565</v>
      </c>
      <c r="E237" s="18">
        <v>19.000004674797697</v>
      </c>
      <c r="F237" s="18">
        <v>11.000004674797697</v>
      </c>
      <c r="G237" s="18">
        <v>8</v>
      </c>
      <c r="H237" s="1">
        <v>119.00000467479769</v>
      </c>
      <c r="I237" s="5">
        <v>17077091.766118076</v>
      </c>
      <c r="J237" s="17">
        <v>17000000</v>
      </c>
      <c r="K237" s="4">
        <v>20321740</v>
      </c>
      <c r="L237" s="4">
        <v>3321740</v>
      </c>
      <c r="M237" s="4">
        <v>1398627.0243000847</v>
      </c>
    </row>
    <row r="238" spans="1:13" x14ac:dyDescent="0.35">
      <c r="A238" s="3" t="s">
        <v>418</v>
      </c>
      <c r="B238" s="2" t="s">
        <v>1575</v>
      </c>
      <c r="C238">
        <v>5161764</v>
      </c>
      <c r="D238" s="19">
        <v>1032353</v>
      </c>
      <c r="E238" s="18">
        <v>16.999999031339087</v>
      </c>
      <c r="F238" s="18">
        <v>11.999999031339087</v>
      </c>
      <c r="G238" s="18">
        <v>5</v>
      </c>
      <c r="H238" s="1">
        <v>116.99999903133909</v>
      </c>
      <c r="I238" s="5">
        <v>15000000.124187298</v>
      </c>
      <c r="J238" s="17">
        <v>15000000</v>
      </c>
      <c r="K238" s="4">
        <v>17550000</v>
      </c>
      <c r="L238" s="4">
        <v>2550000</v>
      </c>
      <c r="M238" s="4">
        <v>750000.04273504263</v>
      </c>
    </row>
    <row r="239" spans="1:13" ht="23" x14ac:dyDescent="0.35">
      <c r="A239" s="3" t="s">
        <v>420</v>
      </c>
      <c r="B239" s="2" t="s">
        <v>1578</v>
      </c>
      <c r="C239">
        <v>5161764</v>
      </c>
      <c r="D239" s="19">
        <v>1032353</v>
      </c>
      <c r="E239" s="18">
        <v>16.999999031339087</v>
      </c>
      <c r="F239" s="18">
        <v>11.999999031339087</v>
      </c>
      <c r="G239" s="18">
        <v>5</v>
      </c>
      <c r="H239" s="1">
        <v>116.99999903133909</v>
      </c>
      <c r="I239" s="5">
        <v>15000000.124187298</v>
      </c>
      <c r="J239" s="17">
        <v>15000000</v>
      </c>
      <c r="K239" s="4">
        <v>17550000</v>
      </c>
      <c r="L239" s="4">
        <v>2550000</v>
      </c>
      <c r="M239" s="4">
        <v>750000.04273504263</v>
      </c>
    </row>
    <row r="240" spans="1:13" x14ac:dyDescent="0.35">
      <c r="A240" s="3" t="s">
        <v>229</v>
      </c>
      <c r="B240" s="2" t="s">
        <v>1576</v>
      </c>
      <c r="C240">
        <v>14452941</v>
      </c>
      <c r="D240" s="19">
        <v>1032353</v>
      </c>
      <c r="E240" s="18">
        <v>16.999999031339087</v>
      </c>
      <c r="F240" s="18">
        <v>2.9999990313390867</v>
      </c>
      <c r="G240" s="18">
        <v>14</v>
      </c>
      <c r="H240" s="1">
        <v>116.99999903133909</v>
      </c>
      <c r="I240" s="5">
        <v>15000000.124187298</v>
      </c>
      <c r="J240" s="17">
        <v>15000000</v>
      </c>
      <c r="K240" s="4">
        <v>17550000</v>
      </c>
      <c r="L240" s="4">
        <v>2550000</v>
      </c>
      <c r="M240" s="4">
        <v>2100000.1196581195</v>
      </c>
    </row>
    <row r="241" spans="1:13" x14ac:dyDescent="0.35">
      <c r="A241" s="3" t="s">
        <v>252</v>
      </c>
      <c r="B241" s="2" t="s">
        <v>1546</v>
      </c>
      <c r="C241">
        <v>21391305</v>
      </c>
      <c r="D241" s="19">
        <v>1069565</v>
      </c>
      <c r="E241" s="18">
        <v>23.000004674797697</v>
      </c>
      <c r="F241" s="18">
        <v>3.0000046747976974</v>
      </c>
      <c r="G241" s="18">
        <v>20</v>
      </c>
      <c r="H241" s="1">
        <v>123.00000467479769</v>
      </c>
      <c r="I241" s="5">
        <v>19999999.239870325</v>
      </c>
      <c r="J241" s="17">
        <v>20000000</v>
      </c>
      <c r="K241" s="4">
        <v>24600000</v>
      </c>
      <c r="L241" s="4">
        <v>4600000</v>
      </c>
      <c r="M241" s="4">
        <v>3999999.1869918699</v>
      </c>
    </row>
    <row r="242" spans="1:13" x14ac:dyDescent="0.35">
      <c r="A242" s="3" t="s">
        <v>874</v>
      </c>
      <c r="B242" s="2" t="s">
        <v>1583</v>
      </c>
      <c r="C242">
        <v>4280000</v>
      </c>
      <c r="D242" s="19">
        <v>1070000</v>
      </c>
      <c r="E242" s="18">
        <v>7</v>
      </c>
      <c r="F242" s="18">
        <v>3</v>
      </c>
      <c r="G242" s="18">
        <v>4</v>
      </c>
      <c r="H242" s="1">
        <v>107</v>
      </c>
      <c r="I242" s="5">
        <v>7000000</v>
      </c>
      <c r="J242" s="17">
        <v>7000000</v>
      </c>
      <c r="K242" s="4">
        <v>7490000</v>
      </c>
      <c r="L242" s="4">
        <v>490000</v>
      </c>
      <c r="M242" s="4">
        <v>280000</v>
      </c>
    </row>
    <row r="243" spans="1:13" ht="23" x14ac:dyDescent="0.35">
      <c r="A243" s="3" t="s">
        <v>189</v>
      </c>
      <c r="B243" s="2" t="s">
        <v>1577</v>
      </c>
      <c r="C243">
        <v>19252175</v>
      </c>
      <c r="D243" s="19">
        <v>1069565</v>
      </c>
      <c r="E243" s="18">
        <v>23.000004674797697</v>
      </c>
      <c r="F243" s="18">
        <v>5.0000046747976974</v>
      </c>
      <c r="G243" s="18">
        <v>18</v>
      </c>
      <c r="H243" s="1">
        <v>123.00000467479769</v>
      </c>
      <c r="I243" s="5">
        <v>19999999.239870325</v>
      </c>
      <c r="J243" s="17">
        <v>20000000</v>
      </c>
      <c r="K243" s="4">
        <v>24600000</v>
      </c>
      <c r="L243" s="4">
        <v>4600000</v>
      </c>
      <c r="M243" s="4">
        <v>3599999.2682926832</v>
      </c>
    </row>
    <row r="244" spans="1:13" x14ac:dyDescent="0.35">
      <c r="A244" s="3" t="s">
        <v>759</v>
      </c>
      <c r="B244" s="2" t="s">
        <v>1544</v>
      </c>
      <c r="C244">
        <v>6054545</v>
      </c>
      <c r="D244" s="19">
        <v>1009091</v>
      </c>
      <c r="E244" s="18">
        <v>10.999999009009098</v>
      </c>
      <c r="F244" s="18">
        <v>4.9999990090090982</v>
      </c>
      <c r="G244" s="18">
        <v>6</v>
      </c>
      <c r="H244" s="1">
        <v>110.9999990090091</v>
      </c>
      <c r="I244" s="5">
        <v>10000000.089278461</v>
      </c>
      <c r="J244" s="17">
        <v>10000000</v>
      </c>
      <c r="K244" s="4">
        <v>11100000</v>
      </c>
      <c r="L244" s="4">
        <v>1100000</v>
      </c>
      <c r="M244" s="4">
        <v>600000.05405405408</v>
      </c>
    </row>
    <row r="245" spans="1:13" x14ac:dyDescent="0.35">
      <c r="A245" s="3" t="s">
        <v>172</v>
      </c>
      <c r="B245" s="2" t="s">
        <v>1581</v>
      </c>
      <c r="C245">
        <v>6533335</v>
      </c>
      <c r="D245" s="19">
        <v>933333</v>
      </c>
      <c r="E245" s="18">
        <v>12.000004285715816</v>
      </c>
      <c r="F245" s="18">
        <v>5.000004285715816</v>
      </c>
      <c r="G245" s="18">
        <v>7</v>
      </c>
      <c r="H245" s="1">
        <v>112.00000428571582</v>
      </c>
      <c r="I245" s="5">
        <v>9999999.6173468176</v>
      </c>
      <c r="J245" s="17">
        <v>10000000</v>
      </c>
      <c r="K245" s="4">
        <v>11200000</v>
      </c>
      <c r="L245" s="4">
        <v>1200000</v>
      </c>
      <c r="M245" s="4">
        <v>699999.75</v>
      </c>
    </row>
    <row r="246" spans="1:13" ht="23" x14ac:dyDescent="0.35">
      <c r="A246" s="3" t="s">
        <v>140</v>
      </c>
      <c r="B246" s="2" t="s">
        <v>1450</v>
      </c>
      <c r="C246">
        <v>3300000</v>
      </c>
      <c r="D246" s="19">
        <v>1100000</v>
      </c>
      <c r="E246" s="18">
        <v>10</v>
      </c>
      <c r="F246" s="18">
        <v>7</v>
      </c>
      <c r="G246" s="18">
        <v>3</v>
      </c>
      <c r="H246" s="1">
        <v>110</v>
      </c>
      <c r="I246" s="5">
        <v>10000000</v>
      </c>
      <c r="J246" s="17">
        <v>10000000</v>
      </c>
      <c r="K246" s="4">
        <v>11000000</v>
      </c>
      <c r="L246" s="4">
        <v>1000000</v>
      </c>
      <c r="M246" s="4">
        <v>300000</v>
      </c>
    </row>
    <row r="247" spans="1:13" x14ac:dyDescent="0.35">
      <c r="A247" s="3" t="s">
        <v>14</v>
      </c>
      <c r="B247" s="2" t="s">
        <v>1508</v>
      </c>
      <c r="C247">
        <v>10875000</v>
      </c>
      <c r="D247" s="19">
        <v>1087500</v>
      </c>
      <c r="E247" s="18">
        <v>16</v>
      </c>
      <c r="F247" s="18">
        <v>6</v>
      </c>
      <c r="G247" s="18">
        <v>10</v>
      </c>
      <c r="H247" s="1">
        <v>116</v>
      </c>
      <c r="I247" s="5">
        <v>15000000</v>
      </c>
      <c r="J247" s="17">
        <v>15000000</v>
      </c>
      <c r="K247" s="4">
        <v>17400000</v>
      </c>
      <c r="L247" s="4">
        <v>2400000</v>
      </c>
      <c r="M247" s="4">
        <v>1500000</v>
      </c>
    </row>
    <row r="248" spans="1:13" x14ac:dyDescent="0.35">
      <c r="A248" s="3" t="s">
        <v>278</v>
      </c>
      <c r="B248" s="2" t="s">
        <v>1517</v>
      </c>
      <c r="C248">
        <v>4400000</v>
      </c>
      <c r="D248" s="19">
        <v>1100000</v>
      </c>
      <c r="E248" s="18">
        <v>10</v>
      </c>
      <c r="F248" s="18">
        <v>6</v>
      </c>
      <c r="G248" s="18">
        <v>4</v>
      </c>
      <c r="H248" s="1">
        <v>110</v>
      </c>
      <c r="I248" s="5">
        <v>10000000</v>
      </c>
      <c r="J248" s="17">
        <v>10000000</v>
      </c>
      <c r="K248" s="4">
        <v>11000000</v>
      </c>
      <c r="L248" s="4">
        <v>1000000</v>
      </c>
      <c r="M248" s="4">
        <v>400000</v>
      </c>
    </row>
    <row r="249" spans="1:13" ht="23" x14ac:dyDescent="0.35">
      <c r="A249" s="3" t="s">
        <v>882</v>
      </c>
      <c r="B249" s="2" t="s">
        <v>1515</v>
      </c>
      <c r="C249">
        <v>764284</v>
      </c>
      <c r="D249" s="19">
        <v>764286</v>
      </c>
      <c r="E249" s="18">
        <v>6.999997383178548</v>
      </c>
      <c r="F249" s="18">
        <v>5.999997383178548</v>
      </c>
      <c r="G249" s="18">
        <v>1</v>
      </c>
      <c r="H249" s="1">
        <v>106.99999738317855</v>
      </c>
      <c r="I249" s="5">
        <v>5000000.1222813791</v>
      </c>
      <c r="J249" s="17">
        <v>5000000</v>
      </c>
      <c r="K249" s="4">
        <v>5350000</v>
      </c>
      <c r="L249" s="4">
        <v>350000</v>
      </c>
      <c r="M249" s="4">
        <v>50000.01869158879</v>
      </c>
    </row>
    <row r="250" spans="1:13" x14ac:dyDescent="0.35">
      <c r="A250" s="3" t="s">
        <v>753</v>
      </c>
      <c r="B250" s="2" t="s">
        <v>1440</v>
      </c>
      <c r="C250">
        <v>20321740</v>
      </c>
      <c r="D250" s="19">
        <v>1069565</v>
      </c>
      <c r="E250" s="18">
        <v>23.000004674797697</v>
      </c>
      <c r="F250" s="18">
        <v>4.0000046747976974</v>
      </c>
      <c r="G250" s="18">
        <v>19</v>
      </c>
      <c r="H250" s="1">
        <v>123.00000467479769</v>
      </c>
      <c r="I250" s="5">
        <v>19999999.239870325</v>
      </c>
      <c r="J250" s="17">
        <v>20000000</v>
      </c>
      <c r="K250" s="4">
        <v>24600000</v>
      </c>
      <c r="L250" s="4">
        <v>4600000</v>
      </c>
      <c r="M250" s="4">
        <v>3799999.2276422763</v>
      </c>
    </row>
    <row r="251" spans="1:13" x14ac:dyDescent="0.35">
      <c r="A251" s="3" t="s">
        <v>1108</v>
      </c>
      <c r="B251" s="2" t="s">
        <v>1446</v>
      </c>
      <c r="C251">
        <v>13050000</v>
      </c>
      <c r="D251" s="19">
        <v>1087500</v>
      </c>
      <c r="E251" s="18">
        <v>16</v>
      </c>
      <c r="F251" s="18">
        <v>4</v>
      </c>
      <c r="G251" s="18">
        <v>12</v>
      </c>
      <c r="H251" s="1">
        <v>116</v>
      </c>
      <c r="I251" s="5">
        <v>15000000</v>
      </c>
      <c r="J251" s="17">
        <v>15000000</v>
      </c>
      <c r="K251" s="4">
        <v>17400000</v>
      </c>
      <c r="L251" s="4">
        <v>2400000</v>
      </c>
      <c r="M251" s="4">
        <v>1800000</v>
      </c>
    </row>
    <row r="252" spans="1:13" x14ac:dyDescent="0.35">
      <c r="A252" s="3" t="s">
        <v>329</v>
      </c>
      <c r="B252" s="2" t="s">
        <v>1445</v>
      </c>
      <c r="C252">
        <v>20321740</v>
      </c>
      <c r="D252" s="19">
        <v>1069565</v>
      </c>
      <c r="E252" s="18">
        <v>23.000004674797697</v>
      </c>
      <c r="F252" s="18">
        <v>4.0000046747976974</v>
      </c>
      <c r="G252" s="18">
        <v>19</v>
      </c>
      <c r="H252" s="1">
        <v>123.00000467479769</v>
      </c>
      <c r="I252" s="5">
        <v>19999999.239870325</v>
      </c>
      <c r="J252" s="17">
        <v>20000000</v>
      </c>
      <c r="K252" s="4">
        <v>24600000</v>
      </c>
      <c r="L252" s="4">
        <v>4600000</v>
      </c>
      <c r="M252" s="4">
        <v>3799999.2276422763</v>
      </c>
    </row>
    <row r="253" spans="1:13" x14ac:dyDescent="0.35">
      <c r="A253" s="3" t="s">
        <v>672</v>
      </c>
      <c r="B253" s="2" t="s">
        <v>1449</v>
      </c>
      <c r="C253">
        <v>3300000</v>
      </c>
      <c r="D253" s="19">
        <v>550000</v>
      </c>
      <c r="E253" s="18">
        <v>10</v>
      </c>
      <c r="F253" s="18">
        <v>4</v>
      </c>
      <c r="G253" s="18">
        <v>6</v>
      </c>
      <c r="H253" s="1">
        <v>110</v>
      </c>
      <c r="I253" s="5">
        <v>5000000</v>
      </c>
      <c r="J253" s="17">
        <v>5000000</v>
      </c>
      <c r="K253" s="4">
        <v>5500000</v>
      </c>
      <c r="L253" s="4">
        <v>500000</v>
      </c>
      <c r="M253" s="4">
        <v>300000</v>
      </c>
    </row>
    <row r="254" spans="1:13" x14ac:dyDescent="0.35">
      <c r="A254" s="3" t="s">
        <v>297</v>
      </c>
      <c r="B254" s="2" t="s">
        <v>1506</v>
      </c>
      <c r="C254">
        <v>13050000</v>
      </c>
      <c r="D254" s="19">
        <v>1087500</v>
      </c>
      <c r="E254" s="18">
        <v>16</v>
      </c>
      <c r="F254" s="18">
        <v>4</v>
      </c>
      <c r="G254" s="18">
        <v>12</v>
      </c>
      <c r="H254" s="1">
        <v>116</v>
      </c>
      <c r="I254" s="5">
        <v>15000000</v>
      </c>
      <c r="J254" s="17">
        <v>15000000</v>
      </c>
      <c r="K254" s="4">
        <v>17400000</v>
      </c>
      <c r="L254" s="4">
        <v>2400000</v>
      </c>
      <c r="M254" s="4">
        <v>1800000</v>
      </c>
    </row>
    <row r="255" spans="1:13" x14ac:dyDescent="0.35">
      <c r="A255" s="3" t="s">
        <v>1071</v>
      </c>
      <c r="B255" s="2" t="s">
        <v>1519</v>
      </c>
      <c r="C255">
        <v>706668</v>
      </c>
      <c r="D255" s="19">
        <v>353333</v>
      </c>
      <c r="E255" s="18">
        <v>6.0000056603826986</v>
      </c>
      <c r="F255" s="18">
        <v>4.0000056603826986</v>
      </c>
      <c r="G255" s="18">
        <v>2</v>
      </c>
      <c r="H255" s="1">
        <v>106.0000056603827</v>
      </c>
      <c r="I255" s="5">
        <v>1999999.8932003321</v>
      </c>
      <c r="J255" s="17">
        <v>2000000</v>
      </c>
      <c r="K255" s="4">
        <v>2120000</v>
      </c>
      <c r="L255" s="4">
        <v>120000</v>
      </c>
      <c r="M255" s="4">
        <v>39999.962264150941</v>
      </c>
    </row>
    <row r="256" spans="1:13" x14ac:dyDescent="0.35">
      <c r="A256" s="3" t="s">
        <v>657</v>
      </c>
      <c r="B256" s="2" t="s">
        <v>1516</v>
      </c>
      <c r="C256">
        <v>10266666</v>
      </c>
      <c r="D256" s="19">
        <v>1026667</v>
      </c>
      <c r="E256" s="18">
        <v>11.999996103897368</v>
      </c>
      <c r="F256" s="18">
        <v>1.9999961038973684</v>
      </c>
      <c r="G256" s="18">
        <v>10</v>
      </c>
      <c r="H256" s="1">
        <v>111.99999610389737</v>
      </c>
      <c r="I256" s="5">
        <v>11000000.38265295</v>
      </c>
      <c r="J256" s="17">
        <v>11000000</v>
      </c>
      <c r="K256" s="4">
        <v>12320000</v>
      </c>
      <c r="L256" s="4">
        <v>1320000</v>
      </c>
      <c r="M256" s="4">
        <v>1100000.3571428573</v>
      </c>
    </row>
    <row r="257" spans="1:13" ht="23" x14ac:dyDescent="0.35">
      <c r="A257" s="3" t="s">
        <v>1289</v>
      </c>
      <c r="B257" s="2" t="s">
        <v>1589</v>
      </c>
      <c r="C257">
        <v>4050000</v>
      </c>
      <c r="D257" s="19">
        <v>675000</v>
      </c>
      <c r="E257" s="18">
        <v>8</v>
      </c>
      <c r="F257" s="18">
        <v>2</v>
      </c>
      <c r="G257" s="18">
        <v>6</v>
      </c>
      <c r="H257" s="1">
        <v>108</v>
      </c>
      <c r="I257" s="5">
        <v>5000000</v>
      </c>
      <c r="J257" s="17">
        <v>5000000</v>
      </c>
      <c r="K257" s="4">
        <v>5400000</v>
      </c>
      <c r="L257" s="4">
        <v>400000</v>
      </c>
      <c r="M257" s="4">
        <v>300000</v>
      </c>
    </row>
    <row r="258" spans="1:13" x14ac:dyDescent="0.35">
      <c r="A258" s="3" t="s">
        <v>1063</v>
      </c>
      <c r="B258" s="2" t="s">
        <v>1655</v>
      </c>
      <c r="C258">
        <v>2650000</v>
      </c>
      <c r="D258" s="19">
        <v>530000</v>
      </c>
      <c r="E258" s="18">
        <v>6</v>
      </c>
      <c r="F258" s="18">
        <v>1</v>
      </c>
      <c r="G258" s="18">
        <v>5</v>
      </c>
      <c r="H258" s="1">
        <v>106</v>
      </c>
      <c r="I258" s="5">
        <v>3000000</v>
      </c>
      <c r="J258" s="17">
        <v>3000000</v>
      </c>
      <c r="K258" s="4">
        <v>3180000</v>
      </c>
      <c r="L258" s="4">
        <v>180000</v>
      </c>
      <c r="M258" s="4">
        <v>150000</v>
      </c>
    </row>
    <row r="259" spans="1:13" ht="23" x14ac:dyDescent="0.35">
      <c r="A259" s="3" t="s">
        <v>1360</v>
      </c>
      <c r="B259" s="2" t="s">
        <v>1656</v>
      </c>
      <c r="C259">
        <v>4950000</v>
      </c>
      <c r="D259" s="19">
        <v>550000</v>
      </c>
      <c r="E259" s="18">
        <v>10</v>
      </c>
      <c r="F259" s="18">
        <v>1</v>
      </c>
      <c r="G259" s="18">
        <v>9</v>
      </c>
      <c r="H259" s="1">
        <v>110</v>
      </c>
      <c r="I259" s="5">
        <v>5000000</v>
      </c>
      <c r="J259" s="17">
        <v>5000000</v>
      </c>
      <c r="K259" s="4">
        <v>5500000</v>
      </c>
      <c r="L259" s="4">
        <v>500000</v>
      </c>
      <c r="M259" s="4">
        <v>450000</v>
      </c>
    </row>
    <row r="260" spans="1:13" x14ac:dyDescent="0.35">
      <c r="A260" s="3" t="s">
        <v>620</v>
      </c>
      <c r="B260" s="2" t="s">
        <v>1442</v>
      </c>
      <c r="C260">
        <v>8266672</v>
      </c>
      <c r="D260" s="19">
        <v>1033333</v>
      </c>
      <c r="E260" s="18">
        <v>20.000007741937981</v>
      </c>
      <c r="F260" s="18">
        <v>11.000007741937981</v>
      </c>
      <c r="G260" s="18">
        <v>9</v>
      </c>
      <c r="H260" s="1">
        <v>120.00000774193798</v>
      </c>
      <c r="I260" s="5">
        <v>17222222.222221863</v>
      </c>
      <c r="J260" s="17">
        <v>17000000</v>
      </c>
      <c r="K260" s="4">
        <v>20666668</v>
      </c>
      <c r="L260" s="4">
        <v>3666668</v>
      </c>
      <c r="M260" s="4">
        <v>1649999.9612901313</v>
      </c>
    </row>
    <row r="261" spans="1:13" x14ac:dyDescent="0.35">
      <c r="A261" s="3" t="s">
        <v>869</v>
      </c>
      <c r="B261" s="2" t="s">
        <v>1514</v>
      </c>
      <c r="C261">
        <v>10661535</v>
      </c>
      <c r="D261" s="19">
        <v>969231</v>
      </c>
      <c r="E261" s="18">
        <v>22.999993809525282</v>
      </c>
      <c r="F261" s="18">
        <v>11.999993809525282</v>
      </c>
      <c r="G261" s="18">
        <v>11</v>
      </c>
      <c r="H261" s="1">
        <v>122.99999380952528</v>
      </c>
      <c r="I261" s="5">
        <v>18123827.741423558</v>
      </c>
      <c r="J261" s="17">
        <v>18000000</v>
      </c>
      <c r="K261" s="4">
        <v>22292307</v>
      </c>
      <c r="L261" s="4">
        <v>4292307</v>
      </c>
      <c r="M261" s="4">
        <v>2052843.0307857776</v>
      </c>
    </row>
    <row r="262" spans="1:13" ht="23" x14ac:dyDescent="0.35">
      <c r="A262" s="3" t="s">
        <v>565</v>
      </c>
      <c r="B262" s="2" t="s">
        <v>1513</v>
      </c>
      <c r="C262">
        <v>2175000</v>
      </c>
      <c r="D262" s="19">
        <v>1087500</v>
      </c>
      <c r="E262" s="18">
        <v>14</v>
      </c>
      <c r="F262" s="18">
        <v>12</v>
      </c>
      <c r="G262" s="18">
        <v>2</v>
      </c>
      <c r="H262" s="1">
        <v>114</v>
      </c>
      <c r="I262" s="5">
        <v>13355263.157894736</v>
      </c>
      <c r="J262" s="17">
        <v>13000000</v>
      </c>
      <c r="K262" s="4">
        <v>15225000</v>
      </c>
      <c r="L262" s="4">
        <v>2225000</v>
      </c>
      <c r="M262" s="4">
        <v>317857.14285714284</v>
      </c>
    </row>
    <row r="263" spans="1:13" x14ac:dyDescent="0.35">
      <c r="A263" s="3" t="s">
        <v>599</v>
      </c>
      <c r="B263" s="2" t="s">
        <v>1447</v>
      </c>
      <c r="C263">
        <v>3097058</v>
      </c>
      <c r="D263" s="19">
        <v>1032353</v>
      </c>
      <c r="E263" s="18">
        <v>14.999999031339087</v>
      </c>
      <c r="F263" s="18">
        <v>11.999999031339087</v>
      </c>
      <c r="G263" s="18">
        <v>3</v>
      </c>
      <c r="H263" s="1">
        <v>114.99999903133909</v>
      </c>
      <c r="I263" s="5">
        <v>13465473.156899804</v>
      </c>
      <c r="J263" s="17">
        <v>13000000</v>
      </c>
      <c r="K263" s="4">
        <v>15485294</v>
      </c>
      <c r="L263" s="4">
        <v>2485294</v>
      </c>
      <c r="M263" s="4">
        <v>497058.83209876413</v>
      </c>
    </row>
    <row r="264" spans="1:13" x14ac:dyDescent="0.35">
      <c r="A264" s="3" t="s">
        <v>1114</v>
      </c>
      <c r="B264" s="2" t="s">
        <v>1451</v>
      </c>
      <c r="C264">
        <v>10695655</v>
      </c>
      <c r="D264" s="19">
        <v>1069565</v>
      </c>
      <c r="E264" s="18">
        <v>22.000004674797697</v>
      </c>
      <c r="F264" s="18">
        <v>11.000004674797697</v>
      </c>
      <c r="G264" s="18">
        <v>11</v>
      </c>
      <c r="H264" s="1">
        <v>122.00000467479769</v>
      </c>
      <c r="I264" s="5">
        <v>19287241.064229921</v>
      </c>
      <c r="J264" s="17">
        <v>19000000</v>
      </c>
      <c r="K264" s="4">
        <v>23530435</v>
      </c>
      <c r="L264" s="4">
        <v>4530435</v>
      </c>
      <c r="M264" s="4">
        <v>2265217.0186622133</v>
      </c>
    </row>
    <row r="265" spans="1:13" x14ac:dyDescent="0.35">
      <c r="A265" s="3" t="s">
        <v>480</v>
      </c>
      <c r="B265" s="2" t="s">
        <v>1448</v>
      </c>
      <c r="C265">
        <v>7226470</v>
      </c>
      <c r="D265" s="19">
        <v>1032353</v>
      </c>
      <c r="E265" s="18">
        <v>16.999999031339087</v>
      </c>
      <c r="F265" s="18">
        <v>9.9999990313390867</v>
      </c>
      <c r="G265" s="18">
        <v>7</v>
      </c>
      <c r="H265" s="1">
        <v>116.99999903133909</v>
      </c>
      <c r="I265" s="5">
        <v>15000000.124187298</v>
      </c>
      <c r="J265" s="17">
        <v>15000000</v>
      </c>
      <c r="K265" s="4">
        <v>17550000</v>
      </c>
      <c r="L265" s="4">
        <v>2550000</v>
      </c>
      <c r="M265" s="4">
        <v>1050000.0598290598</v>
      </c>
    </row>
    <row r="266" spans="1:13" x14ac:dyDescent="0.35">
      <c r="A266" s="3" t="s">
        <v>1117</v>
      </c>
      <c r="B266" s="2" t="s">
        <v>1453</v>
      </c>
      <c r="C266">
        <v>7226470</v>
      </c>
      <c r="D266" s="19">
        <v>1032353</v>
      </c>
      <c r="E266" s="18">
        <v>16.999999031339087</v>
      </c>
      <c r="F266" s="18">
        <v>9.9999990313390867</v>
      </c>
      <c r="G266" s="18">
        <v>7</v>
      </c>
      <c r="H266" s="1">
        <v>116.99999903133909</v>
      </c>
      <c r="I266" s="5">
        <v>15000000.124187298</v>
      </c>
      <c r="J266" s="17">
        <v>15000000</v>
      </c>
      <c r="K266" s="4">
        <v>17550000</v>
      </c>
      <c r="L266" s="4">
        <v>2550000</v>
      </c>
      <c r="M266" s="4">
        <v>1050000.0598290598</v>
      </c>
    </row>
    <row r="267" spans="1:13" ht="23" x14ac:dyDescent="0.35">
      <c r="A267" s="3" t="s">
        <v>48</v>
      </c>
      <c r="B267" s="2" t="s">
        <v>1511</v>
      </c>
      <c r="C267">
        <v>1866670</v>
      </c>
      <c r="D267" s="19">
        <v>933333</v>
      </c>
      <c r="E267" s="18">
        <v>12.000004285715816</v>
      </c>
      <c r="F267" s="18">
        <v>10.000004285715816</v>
      </c>
      <c r="G267" s="18">
        <v>2</v>
      </c>
      <c r="H267" s="1">
        <v>112.00000428571582</v>
      </c>
      <c r="I267" s="5">
        <v>9999999.6173468176</v>
      </c>
      <c r="J267" s="17">
        <v>10000000</v>
      </c>
      <c r="K267" s="4">
        <v>11200000</v>
      </c>
      <c r="L267" s="4">
        <v>1200000</v>
      </c>
      <c r="M267" s="4">
        <v>199999.92857142858</v>
      </c>
    </row>
    <row r="268" spans="1:13" x14ac:dyDescent="0.35">
      <c r="A268" s="3" t="s">
        <v>264</v>
      </c>
      <c r="B268" s="2" t="s">
        <v>1439</v>
      </c>
      <c r="C268">
        <v>1100000</v>
      </c>
      <c r="D268" s="19">
        <v>1100000</v>
      </c>
      <c r="E268" s="18">
        <v>10</v>
      </c>
      <c r="F268" s="18">
        <v>9</v>
      </c>
      <c r="G268" s="18">
        <v>1</v>
      </c>
      <c r="H268" s="1">
        <v>110</v>
      </c>
      <c r="I268" s="5">
        <v>10000000</v>
      </c>
      <c r="J268" s="17">
        <v>10000000</v>
      </c>
      <c r="K268" s="4">
        <v>11000000</v>
      </c>
      <c r="L268" s="4">
        <v>1000000</v>
      </c>
      <c r="M268" s="4">
        <v>100000</v>
      </c>
    </row>
    <row r="269" spans="1:13" x14ac:dyDescent="0.35">
      <c r="A269" s="3" t="s">
        <v>1258</v>
      </c>
      <c r="B269" s="2" t="s">
        <v>1588</v>
      </c>
      <c r="C269">
        <v>330000</v>
      </c>
      <c r="D269" s="19">
        <v>330000</v>
      </c>
      <c r="E269" s="18">
        <v>10</v>
      </c>
      <c r="F269" s="18">
        <v>9</v>
      </c>
      <c r="G269" s="18">
        <v>1</v>
      </c>
      <c r="H269" s="1">
        <v>110</v>
      </c>
      <c r="I269" s="5">
        <v>3000000</v>
      </c>
      <c r="J269" s="17">
        <v>3000000</v>
      </c>
      <c r="K269" s="4">
        <v>3300000</v>
      </c>
      <c r="L269" s="4">
        <v>300000</v>
      </c>
      <c r="M269" s="4">
        <v>30000</v>
      </c>
    </row>
    <row r="270" spans="1:13" x14ac:dyDescent="0.35">
      <c r="A270" s="3" t="s">
        <v>394</v>
      </c>
      <c r="B270" s="2" t="s">
        <v>1441</v>
      </c>
      <c r="C270">
        <v>4160000</v>
      </c>
      <c r="D270" s="19">
        <v>1040000</v>
      </c>
      <c r="E270" s="18">
        <v>16</v>
      </c>
      <c r="F270" s="18">
        <v>12</v>
      </c>
      <c r="G270" s="18">
        <v>4</v>
      </c>
      <c r="H270" s="1">
        <v>116</v>
      </c>
      <c r="I270" s="5">
        <v>14344827.586206896</v>
      </c>
      <c r="J270" s="17">
        <v>14000000</v>
      </c>
      <c r="K270" s="4">
        <v>16640000</v>
      </c>
      <c r="L270" s="4">
        <v>2640000</v>
      </c>
      <c r="M270" s="4">
        <v>660000</v>
      </c>
    </row>
    <row r="271" spans="1:13" x14ac:dyDescent="0.35">
      <c r="A271" s="3" t="s">
        <v>382</v>
      </c>
      <c r="B271" s="2" t="s">
        <v>1444</v>
      </c>
      <c r="C271">
        <v>1000000</v>
      </c>
      <c r="D271" s="19">
        <v>1000000</v>
      </c>
      <c r="E271" s="18">
        <v>13</v>
      </c>
      <c r="F271" s="18">
        <v>12</v>
      </c>
      <c r="G271" s="18">
        <v>1</v>
      </c>
      <c r="H271" s="1">
        <v>113</v>
      </c>
      <c r="I271" s="5">
        <v>11504424.778761061</v>
      </c>
      <c r="J271" s="17">
        <v>12000000</v>
      </c>
      <c r="K271" s="4">
        <v>13000000</v>
      </c>
      <c r="L271" s="4">
        <v>1000000</v>
      </c>
      <c r="M271" s="4">
        <v>76923.076923076922</v>
      </c>
    </row>
    <row r="272" spans="1:13" x14ac:dyDescent="0.35">
      <c r="A272" s="3" t="s">
        <v>362</v>
      </c>
      <c r="B272" s="2" t="s">
        <v>1507</v>
      </c>
      <c r="C272">
        <v>5</v>
      </c>
      <c r="D272" s="19">
        <v>1069565</v>
      </c>
      <c r="E272" s="18">
        <v>12.000004674797697</v>
      </c>
      <c r="F272" s="18">
        <v>11.000004674797697</v>
      </c>
      <c r="G272" s="18">
        <v>1</v>
      </c>
      <c r="H272" s="1">
        <v>112.00000467479769</v>
      </c>
      <c r="I272" s="5">
        <v>11459628.985969221</v>
      </c>
      <c r="J272" s="17">
        <v>11000000</v>
      </c>
      <c r="K272" s="4">
        <v>12834785</v>
      </c>
      <c r="L272" s="4">
        <v>1834785</v>
      </c>
      <c r="M272" s="4">
        <v>152898.69043579616</v>
      </c>
    </row>
    <row r="273" spans="1:13" x14ac:dyDescent="0.35">
      <c r="A273" s="3" t="s">
        <v>17</v>
      </c>
      <c r="B273" s="2" t="s">
        <v>1454</v>
      </c>
      <c r="C273">
        <v>4278265</v>
      </c>
      <c r="D273" s="19">
        <v>1069565</v>
      </c>
      <c r="E273" s="18">
        <v>16.000004674797697</v>
      </c>
      <c r="F273" s="18">
        <v>11.000004674797697</v>
      </c>
      <c r="G273" s="18">
        <v>5</v>
      </c>
      <c r="H273" s="1">
        <v>116.00000467479769</v>
      </c>
      <c r="I273" s="5">
        <v>14752624.405469529</v>
      </c>
      <c r="J273" s="17">
        <v>15000000</v>
      </c>
      <c r="K273" s="4">
        <v>17113045</v>
      </c>
      <c r="L273" s="4">
        <v>2113045</v>
      </c>
      <c r="M273" s="4">
        <v>660326.36956923804</v>
      </c>
    </row>
    <row r="274" spans="1:13" x14ac:dyDescent="0.35">
      <c r="A274" s="3" t="s">
        <v>59</v>
      </c>
      <c r="B274" s="2" t="s">
        <v>1505</v>
      </c>
      <c r="C274">
        <v>7233339</v>
      </c>
      <c r="D274" s="19">
        <v>1033333</v>
      </c>
      <c r="E274" s="18">
        <v>19.000007741937981</v>
      </c>
      <c r="F274" s="18">
        <v>11.000007741937981</v>
      </c>
      <c r="G274" s="18">
        <v>8</v>
      </c>
      <c r="H274" s="1">
        <v>119.00000774193798</v>
      </c>
      <c r="I274" s="5">
        <v>16498599.766965242</v>
      </c>
      <c r="J274" s="17">
        <v>16000000</v>
      </c>
      <c r="K274" s="4">
        <v>19633335</v>
      </c>
      <c r="L274" s="4">
        <v>3633335</v>
      </c>
      <c r="M274" s="4">
        <v>1529824.6397996061</v>
      </c>
    </row>
    <row r="275" spans="1:13" x14ac:dyDescent="0.35">
      <c r="A275" s="3" t="s">
        <v>1129</v>
      </c>
      <c r="B275" s="2" t="s">
        <v>1510</v>
      </c>
      <c r="C275">
        <v>14137500</v>
      </c>
      <c r="D275" s="19">
        <v>1087500</v>
      </c>
      <c r="E275" s="18">
        <v>16</v>
      </c>
      <c r="F275" s="18">
        <v>3</v>
      </c>
      <c r="G275" s="18">
        <v>13</v>
      </c>
      <c r="H275" s="1">
        <v>116</v>
      </c>
      <c r="I275" s="5">
        <v>15000000</v>
      </c>
      <c r="J275" s="17">
        <v>15000000</v>
      </c>
      <c r="K275" s="4">
        <v>17400000</v>
      </c>
      <c r="L275" s="4">
        <v>2400000</v>
      </c>
      <c r="M275" s="4">
        <v>1950000</v>
      </c>
    </row>
    <row r="276" spans="1:13" x14ac:dyDescent="0.35">
      <c r="A276" s="3" t="s">
        <v>51</v>
      </c>
      <c r="B276" s="2" t="s">
        <v>1512</v>
      </c>
      <c r="C276">
        <v>3850000</v>
      </c>
      <c r="D276" s="19">
        <v>550000</v>
      </c>
      <c r="E276" s="18">
        <v>10</v>
      </c>
      <c r="F276" s="18">
        <v>3</v>
      </c>
      <c r="G276" s="18">
        <v>7</v>
      </c>
      <c r="H276" s="1">
        <v>110</v>
      </c>
      <c r="I276" s="5">
        <v>5000000</v>
      </c>
      <c r="J276" s="17">
        <v>5000000</v>
      </c>
      <c r="K276" s="4">
        <v>5500000</v>
      </c>
      <c r="L276" s="4">
        <v>500000</v>
      </c>
      <c r="M276" s="4">
        <v>350000</v>
      </c>
    </row>
    <row r="277" spans="1:13" x14ac:dyDescent="0.35">
      <c r="A277" s="3" t="s">
        <v>903</v>
      </c>
      <c r="B277" s="2" t="s">
        <v>1518</v>
      </c>
      <c r="C277">
        <v>8400001</v>
      </c>
      <c r="D277" s="19">
        <v>933333</v>
      </c>
      <c r="E277" s="18">
        <v>12.000004285715816</v>
      </c>
      <c r="F277" s="18">
        <v>3.000004285715816</v>
      </c>
      <c r="G277" s="18">
        <v>9</v>
      </c>
      <c r="H277" s="1">
        <v>112.00000428571582</v>
      </c>
      <c r="I277" s="5">
        <v>9999999.6173468176</v>
      </c>
      <c r="J277" s="17">
        <v>10000000</v>
      </c>
      <c r="K277" s="4">
        <v>11200000</v>
      </c>
      <c r="L277" s="4">
        <v>1200000</v>
      </c>
      <c r="M277" s="4">
        <v>899999.67857142864</v>
      </c>
    </row>
    <row r="278" spans="1:13" x14ac:dyDescent="0.35">
      <c r="A278" s="3" t="s">
        <v>615</v>
      </c>
      <c r="B278" s="2" t="s">
        <v>1509</v>
      </c>
      <c r="C278">
        <v>19252175</v>
      </c>
      <c r="D278" s="19">
        <v>1069565</v>
      </c>
      <c r="E278" s="18">
        <v>23.000004674797697</v>
      </c>
      <c r="F278" s="18">
        <v>5.0000046747976974</v>
      </c>
      <c r="G278" s="18">
        <v>18</v>
      </c>
      <c r="H278" s="1">
        <v>123.00000467479769</v>
      </c>
      <c r="I278" s="5">
        <v>19999999.239870325</v>
      </c>
      <c r="J278" s="17">
        <v>20000000</v>
      </c>
      <c r="K278" s="4">
        <v>24600000</v>
      </c>
      <c r="L278" s="4">
        <v>4600000</v>
      </c>
      <c r="M278" s="4">
        <v>3599999.2682926832</v>
      </c>
    </row>
    <row r="279" spans="1:13" x14ac:dyDescent="0.35">
      <c r="A279" s="3" t="s">
        <v>555</v>
      </c>
      <c r="B279" s="2" t="s">
        <v>1443</v>
      </c>
      <c r="C279">
        <v>5500000</v>
      </c>
      <c r="D279" s="19">
        <v>1100000</v>
      </c>
      <c r="E279" s="18">
        <v>10</v>
      </c>
      <c r="F279" s="18">
        <v>5</v>
      </c>
      <c r="G279" s="18">
        <v>5</v>
      </c>
      <c r="H279" s="1">
        <v>110</v>
      </c>
      <c r="I279" s="5">
        <v>10000000</v>
      </c>
      <c r="J279" s="17">
        <v>10000000</v>
      </c>
      <c r="K279" s="4">
        <v>11000000</v>
      </c>
      <c r="L279" s="4">
        <v>1000000</v>
      </c>
      <c r="M279" s="4">
        <v>500000</v>
      </c>
    </row>
    <row r="280" spans="1:13" x14ac:dyDescent="0.35">
      <c r="A280" s="3" t="s">
        <v>26</v>
      </c>
      <c r="B280" s="2" t="s">
        <v>1452</v>
      </c>
      <c r="C280">
        <v>19633335</v>
      </c>
      <c r="D280" s="19">
        <v>1033333</v>
      </c>
      <c r="E280" s="18">
        <v>24.000007741937981</v>
      </c>
      <c r="F280" s="18">
        <v>5.0000077419379814</v>
      </c>
      <c r="G280" s="18">
        <v>19</v>
      </c>
      <c r="H280" s="1">
        <v>124.00000774193798</v>
      </c>
      <c r="I280" s="5">
        <v>19999998.751300406</v>
      </c>
      <c r="J280" s="17">
        <v>20000000</v>
      </c>
      <c r="K280" s="4">
        <v>24800000</v>
      </c>
      <c r="L280" s="4">
        <v>4800000</v>
      </c>
      <c r="M280" s="4">
        <v>3799998.7741935486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72E5-3D93-4A1E-9EA8-B1BCE0667C39}">
  <dimension ref="A3:C12"/>
  <sheetViews>
    <sheetView tabSelected="1" workbookViewId="0">
      <selection activeCell="C15" sqref="C15"/>
    </sheetView>
  </sheetViews>
  <sheetFormatPr defaultColWidth="6.26953125" defaultRowHeight="14.5" x14ac:dyDescent="0.35"/>
  <cols>
    <col min="1" max="1" width="22" customWidth="1"/>
    <col min="2" max="2" width="25.90625" customWidth="1"/>
    <col min="3" max="3" width="16.1796875" bestFit="1" customWidth="1"/>
    <col min="4" max="4" width="9.90625" customWidth="1"/>
    <col min="5" max="5" width="15.90625" bestFit="1" customWidth="1"/>
    <col min="6" max="6" width="12.7265625" bestFit="1" customWidth="1"/>
    <col min="7" max="7" width="16.81640625" bestFit="1" customWidth="1"/>
    <col min="8" max="8" width="12.08984375" bestFit="1" customWidth="1"/>
  </cols>
  <sheetData>
    <row r="3" spans="1:3" x14ac:dyDescent="0.35">
      <c r="B3" t="s">
        <v>1323</v>
      </c>
    </row>
    <row r="5" spans="1:3" x14ac:dyDescent="0.35">
      <c r="A5" t="s">
        <v>286</v>
      </c>
      <c r="B5" s="24" t="s">
        <v>512</v>
      </c>
    </row>
    <row r="6" spans="1:3" x14ac:dyDescent="0.35">
      <c r="A6" t="s">
        <v>287</v>
      </c>
      <c r="B6" t="str">
        <f>IFERROR(VLOOKUP(B5,'sheet 1'!$A$2:$B$688,2,0),"TIDAK ADA DATA")</f>
        <v>RUSDIYANTO</v>
      </c>
    </row>
    <row r="7" spans="1:3" x14ac:dyDescent="0.35">
      <c r="A7" t="s">
        <v>1319</v>
      </c>
      <c r="B7" t="s">
        <v>1622</v>
      </c>
    </row>
    <row r="8" spans="1:3" x14ac:dyDescent="0.35">
      <c r="A8" t="s">
        <v>1320</v>
      </c>
      <c r="B8" s="20">
        <f>VLOOKUP(B5,'sheet 4'!$A$2:$J$280,10,0)</f>
        <v>10000000</v>
      </c>
    </row>
    <row r="9" spans="1:3" x14ac:dyDescent="0.35">
      <c r="A9" t="s">
        <v>1318</v>
      </c>
      <c r="B9" s="20">
        <f>VLOOKUP(B5,'sheet 4'!$A$2:$J$280,5,0)</f>
        <v>10</v>
      </c>
      <c r="C9" t="s">
        <v>1322</v>
      </c>
    </row>
    <row r="10" spans="1:3" x14ac:dyDescent="0.35">
      <c r="A10" t="s">
        <v>1240</v>
      </c>
      <c r="B10" s="20">
        <f>VLOOKUP(B5,'sheet 4'!$A$2:$J$280,6,0)</f>
        <v>7</v>
      </c>
    </row>
    <row r="11" spans="1:3" x14ac:dyDescent="0.35">
      <c r="A11" t="s">
        <v>1321</v>
      </c>
      <c r="B11" s="20">
        <f>VLOOKUP(B5,'sheet 4'!$A$2:$J$280,7,0)</f>
        <v>3</v>
      </c>
    </row>
    <row r="12" spans="1:3" x14ac:dyDescent="0.35">
      <c r="A12" t="s">
        <v>1249</v>
      </c>
      <c r="B12" s="20">
        <f>VLOOKUP(B5,'sheet 4'!$A$2:$J$280,3,0)</f>
        <v>3300000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4</vt:lpstr>
      <vt:lpstr>CEK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MNAE Payroll</dc:creator>
  <cp:lastModifiedBy>TECNO</cp:lastModifiedBy>
  <cp:lastPrinted>2026-07-13T05:59:14Z</cp:lastPrinted>
  <dcterms:created xsi:type="dcterms:W3CDTF">2015-04-21T07:23:23Z</dcterms:created>
  <dcterms:modified xsi:type="dcterms:W3CDTF">2026-10-02T12:43:19Z</dcterms:modified>
</cp:coreProperties>
</file>